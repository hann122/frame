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Legen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8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sz val="10"/>
    </font>
    <font>
      <name val="Arial"/>
      <b val="1"/>
      <color rgb="00FFFFFF"/>
      <sz val="11"/>
    </font>
    <font>
      <name val="Arial"/>
      <color rgb="00FF0000"/>
      <sz val="10"/>
    </font>
    <font>
      <name val="Arial"/>
      <color rgb="0000B050"/>
      <sz val="10"/>
    </font>
    <font>
      <name val="Arial"/>
      <color rgb="00000000"/>
      <sz val="10"/>
    </font>
    <font>
      <name val="Arial"/>
      <b val="1"/>
      <sz val="10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D700"/>
      </patternFill>
    </fill>
    <fill>
      <patternFill patternType="solid">
        <fgColor rgb="00C0C0C0"/>
      </patternFill>
    </fill>
    <fill>
      <patternFill patternType="solid">
        <fgColor rgb="00CD7F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wrapText="1"/>
    </xf>
    <xf numFmtId="3" fontId="2" fillId="0" borderId="0" pivotButton="0" quotePrefix="0" xfId="0"/>
    <xf numFmtId="3" fontId="4" fillId="0" borderId="0" pivotButton="0" quotePrefix="0" xfId="0"/>
    <xf numFmtId="10" fontId="4" fillId="0" borderId="0" pivotButton="0" quotePrefix="0" xfId="0"/>
    <xf numFmtId="3" fontId="5" fillId="0" borderId="0" pivotButton="0" quotePrefix="0" xfId="0"/>
    <xf numFmtId="164" fontId="5" fillId="0" borderId="0" pivotButton="0" quotePrefix="0" xfId="0"/>
    <xf numFmtId="0" fontId="2" fillId="3" borderId="0" pivotButton="0" quotePrefix="0" xfId="0"/>
    <xf numFmtId="3" fontId="2" fillId="3" borderId="0" pivotButton="0" quotePrefix="0" xfId="0"/>
    <xf numFmtId="3" fontId="4" fillId="3" borderId="0" pivotButton="0" quotePrefix="0" xfId="0"/>
    <xf numFmtId="10" fontId="4" fillId="3" borderId="0" pivotButton="0" quotePrefix="0" xfId="0"/>
    <xf numFmtId="3" fontId="5" fillId="3" borderId="0" pivotButton="0" quotePrefix="0" xfId="0"/>
    <xf numFmtId="164" fontId="5" fillId="3" borderId="0" pivotButton="0" quotePrefix="0" xfId="0"/>
    <xf numFmtId="10" fontId="5" fillId="0" borderId="0" pivotButton="0" quotePrefix="0" xfId="0"/>
    <xf numFmtId="10" fontId="5" fillId="3" borderId="0" pivotButton="0" quotePrefix="0" xfId="0"/>
    <xf numFmtId="0" fontId="2" fillId="4" borderId="0" pivotButton="0" quotePrefix="0" xfId="0"/>
    <xf numFmtId="3" fontId="2" fillId="4" borderId="0" pivotButton="0" quotePrefix="0" xfId="0"/>
    <xf numFmtId="3" fontId="5" fillId="4" borderId="0" pivotButton="0" quotePrefix="0" xfId="0"/>
    <xf numFmtId="10" fontId="5" fillId="4" borderId="0" pivotButton="0" quotePrefix="0" xfId="0"/>
    <xf numFmtId="164" fontId="5" fillId="4" borderId="0" pivotButton="0" quotePrefix="0" xfId="0"/>
    <xf numFmtId="3" fontId="4" fillId="4" borderId="0" pivotButton="0" quotePrefix="0" xfId="0"/>
    <xf numFmtId="3" fontId="6" fillId="0" borderId="0" pivotButton="0" quotePrefix="0" xfId="0"/>
    <xf numFmtId="164" fontId="6" fillId="0" borderId="0" pivotButton="0" quotePrefix="0" xfId="0"/>
    <xf numFmtId="10" fontId="4" fillId="4" borderId="0" pivotButton="0" quotePrefix="0" xfId="0"/>
    <xf numFmtId="3" fontId="6" fillId="3" borderId="0" pivotButton="0" quotePrefix="0" xfId="0"/>
    <xf numFmtId="164" fontId="6" fillId="3" borderId="0" pivotButton="0" quotePrefix="0" xfId="0"/>
    <xf numFmtId="0" fontId="2" fillId="5" borderId="0" pivotButton="0" quotePrefix="0" xfId="0"/>
    <xf numFmtId="3" fontId="2" fillId="5" borderId="0" pivotButton="0" quotePrefix="0" xfId="0"/>
    <xf numFmtId="0" fontId="0" fillId="5" borderId="0" pivotButton="0" quotePrefix="0" xfId="0"/>
    <xf numFmtId="0" fontId="2" fillId="6" borderId="0" pivotButton="0" quotePrefix="0" xfId="0"/>
    <xf numFmtId="3" fontId="2" fillId="6" borderId="0" pivotButton="0" quotePrefix="0" xfId="0"/>
    <xf numFmtId="0" fontId="0" fillId="6" borderId="0" pivotButton="0" quotePrefix="0" xfId="0"/>
    <xf numFmtId="0" fontId="7" fillId="0" borderId="0" pivotButton="0" quotePrefix="0" xfId="0"/>
    <xf numFmtId="3" fontId="7" fillId="0" borderId="0" pivotButton="0" quotePrefix="0" xfId="0"/>
    <xf numFmtId="10" fontId="2" fillId="0" borderId="0" pivotButton="0" quotePrefix="0" xfId="0"/>
    <xf numFmtId="0" fontId="2" fillId="7" borderId="0" pivotButton="0" quotePrefix="0" xfId="0"/>
    <xf numFmtId="3" fontId="2" fillId="7" borderId="0" pivotButton="0" quotePrefix="0" xfId="0"/>
    <xf numFmtId="3" fontId="5" fillId="7" borderId="0" pivotButton="0" quotePrefix="0" xfId="0"/>
    <xf numFmtId="0" fontId="2" fillId="8" borderId="0" pivotButton="0" quotePrefix="0" xfId="0"/>
    <xf numFmtId="3" fontId="2" fillId="8" borderId="0" pivotButton="0" quotePrefix="0" xfId="0"/>
    <xf numFmtId="3" fontId="5" fillId="8" borderId="0" pivotButton="0" quotePrefix="0" xfId="0"/>
    <xf numFmtId="0" fontId="2" fillId="9" borderId="0" pivotButton="0" quotePrefix="0" xfId="0"/>
    <xf numFmtId="3" fontId="2" fillId="9" borderId="0" pivotButton="0" quotePrefix="0" xfId="0"/>
    <xf numFmtId="3" fontId="5" fillId="9" borderId="0" pivotButton="0" quotePrefix="0" xfId="0"/>
    <xf numFmtId="3" fontId="4" fillId="5" borderId="0" pivotButton="0" quotePrefix="0" xfId="0"/>
    <xf numFmtId="10" fontId="4" fillId="5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22" customWidth="1" min="3" max="3"/>
    <col width="22" customWidth="1" min="4" max="4"/>
    <col width="60" customWidth="1" min="5" max="5"/>
    <col width="14" customWidth="1" min="6" max="6"/>
    <col width="17" customWidth="1" min="7" max="7"/>
    <col width="13" customWidth="1" min="8" max="8"/>
    <col width="14" customWidth="1" min="9" max="9"/>
    <col width="17" customWidth="1" min="10" max="10"/>
    <col width="13" customWidth="1" min="11" max="11"/>
    <col width="13" customWidth="1" min="12" max="12"/>
    <col width="10" customWidth="1" min="13" max="13"/>
    <col width="15" customWidth="1" min="14" max="14"/>
    <col width="11" customWidth="1" min="15" max="15"/>
    <col width="13" customWidth="1" min="16" max="16"/>
  </cols>
  <sheetData>
    <row r="1">
      <c r="A1" s="1" t="inlineStr">
        <is>
          <t>R350 tribe member comparison  -  2026-10-27  vs  2026-10-31  (ELAPSED 4 days)</t>
        </is>
      </c>
    </row>
    <row r="2">
      <c r="A2" s="2" t="inlineStr">
        <is>
          <t>D1 198 stored rows | D2 195 rows (game UI NOT GIVEN) | Pass 1 186 | Pass 2 6 | Pass 3 0 | departures 6 | D2-only 3 | KP_CEIL 16.3010% (max of 186-pair control group x 1.1)</t>
        </is>
      </c>
    </row>
    <row r="4">
      <c r="A4" s="3" t="inlineStr">
        <is>
          <t>#</t>
        </is>
      </c>
      <c r="B4" s="3" t="inlineStr">
        <is>
          <t>ID</t>
        </is>
      </c>
      <c r="C4" s="3" t="inlineStr">
        <is>
          <t>Name (D1)</t>
        </is>
      </c>
      <c r="D4" s="3" t="inlineStr">
        <is>
          <t>Name (D2)</t>
        </is>
      </c>
      <c r="E4" s="3" t="inlineStr">
        <is>
          <t>Note</t>
        </is>
      </c>
      <c r="F4" s="3" t="inlineStr">
        <is>
          <t>Power D1</t>
        </is>
      </c>
      <c r="G4" s="3" t="inlineStr">
        <is>
          <t>Kill Pts D1</t>
        </is>
      </c>
      <c r="H4" s="3" t="inlineStr">
        <is>
          <t>Act Pts D1</t>
        </is>
      </c>
      <c r="I4" s="3" t="inlineStr">
        <is>
          <t>Power D2</t>
        </is>
      </c>
      <c r="J4" s="3" t="inlineStr">
        <is>
          <t>Kill Pts D2</t>
        </is>
      </c>
      <c r="K4" s="3" t="inlineStr">
        <is>
          <t>Act Pts D2</t>
        </is>
      </c>
      <c r="L4" s="3" t="inlineStr">
        <is>
          <t>Δ Power</t>
        </is>
      </c>
      <c r="M4" s="3" t="inlineStr">
        <is>
          <t>Δ Power %</t>
        </is>
      </c>
      <c r="N4" s="3" t="inlineStr">
        <is>
          <t>Δ Kill Pts</t>
        </is>
      </c>
      <c r="O4" s="3" t="inlineStr">
        <is>
          <t>Δ Kill Pts %</t>
        </is>
      </c>
      <c r="P4" s="3" t="inlineStr">
        <is>
          <t>Δ Act Pts</t>
        </is>
      </c>
    </row>
    <row r="5">
      <c r="A5" s="2" t="n">
        <v>1</v>
      </c>
      <c r="B5" s="2" t="inlineStr">
        <is>
          <t>R350-0001</t>
        </is>
      </c>
      <c r="C5" s="2" t="inlineStr">
        <is>
          <t>Чугуш</t>
        </is>
      </c>
      <c r="D5" s="2" t="inlineStr">
        <is>
          <t>Чугуш</t>
        </is>
      </c>
      <c r="E5" s="2" t="inlineStr">
        <is>
          <t>Exact name match (Pass 1) via alias screen name "Чугуш"</t>
        </is>
      </c>
      <c r="F5" s="4" t="n">
        <v>848005443</v>
      </c>
      <c r="G5" s="4" t="n">
        <v>44538316209</v>
      </c>
      <c r="H5" s="4" t="n">
        <v>14583899</v>
      </c>
      <c r="I5" s="4" t="n">
        <v>837301257</v>
      </c>
      <c r="J5" s="4" t="n">
        <v>47163075927</v>
      </c>
      <c r="K5" s="4" t="n">
        <v>0</v>
      </c>
      <c r="L5" s="5">
        <f>I5-F5</f>
        <v/>
      </c>
      <c r="M5" s="6">
        <f>IFERROR((I5-F5)/F5,"")</f>
        <v/>
      </c>
      <c r="N5" s="7">
        <f>J5-G5</f>
        <v/>
      </c>
      <c r="O5" s="8">
        <f>IFERROR((J5-G5)/G5,"")</f>
        <v/>
      </c>
      <c r="P5" s="5">
        <f>K5-H5</f>
        <v/>
      </c>
    </row>
    <row r="6">
      <c r="A6" s="9" t="n">
        <v>2</v>
      </c>
      <c r="B6" s="9" t="inlineStr">
        <is>
          <t>R350-0002</t>
        </is>
      </c>
      <c r="C6" s="9" t="inlineStr">
        <is>
          <t>Единств</t>
        </is>
      </c>
      <c r="D6" s="9" t="inlineStr">
        <is>
          <t>Единств</t>
        </is>
      </c>
      <c r="E6" s="9" t="inlineStr">
        <is>
          <t>Exact name match (Pass 1) via canonical</t>
        </is>
      </c>
      <c r="F6" s="10" t="n">
        <v>718323221</v>
      </c>
      <c r="G6" s="10" t="n">
        <v>75013750172</v>
      </c>
      <c r="H6" s="10" t="n">
        <v>108666078</v>
      </c>
      <c r="I6" s="10" t="n">
        <v>716691410</v>
      </c>
      <c r="J6" s="10" t="n">
        <v>81945369415</v>
      </c>
      <c r="K6" s="10" t="n">
        <v>109285678</v>
      </c>
      <c r="L6" s="11">
        <f>I6-F6</f>
        <v/>
      </c>
      <c r="M6" s="12">
        <f>IFERROR((I6-F6)/F6,"")</f>
        <v/>
      </c>
      <c r="N6" s="13">
        <f>J6-G6</f>
        <v/>
      </c>
      <c r="O6" s="14">
        <f>IFERROR((J6-G6)/G6,"")</f>
        <v/>
      </c>
      <c r="P6" s="13">
        <f>K6-H6</f>
        <v/>
      </c>
    </row>
    <row r="7">
      <c r="A7" s="2" t="n">
        <v>3</v>
      </c>
      <c r="B7" s="2" t="inlineStr">
        <is>
          <t>R350-0004</t>
        </is>
      </c>
      <c r="C7" s="2" t="inlineStr">
        <is>
          <t>Timmeee</t>
        </is>
      </c>
      <c r="D7" s="2" t="inlineStr">
        <is>
          <t>Timmeee</t>
        </is>
      </c>
      <c r="E7" s="2" t="inlineStr">
        <is>
          <t>Exact name match (Pass 1) via canonical</t>
        </is>
      </c>
      <c r="F7" s="4" t="n">
        <v>384785387</v>
      </c>
      <c r="G7" s="4" t="n">
        <v>36567206144</v>
      </c>
      <c r="H7" s="4" t="n">
        <v>340400</v>
      </c>
      <c r="I7" s="4" t="n">
        <v>385119915</v>
      </c>
      <c r="J7" s="4" t="n">
        <v>40536645453</v>
      </c>
      <c r="K7" s="4" t="n">
        <v>203900</v>
      </c>
      <c r="L7" s="7">
        <f>I7-F7</f>
        <v/>
      </c>
      <c r="M7" s="15">
        <f>IFERROR((I7-F7)/F7,"")</f>
        <v/>
      </c>
      <c r="N7" s="7">
        <f>J7-G7</f>
        <v/>
      </c>
      <c r="O7" s="8">
        <f>IFERROR((J7-G7)/G7,"")</f>
        <v/>
      </c>
      <c r="P7" s="5">
        <f>K7-H7</f>
        <v/>
      </c>
    </row>
    <row r="8">
      <c r="A8" s="9" t="n">
        <v>4</v>
      </c>
      <c r="B8" s="9" t="inlineStr">
        <is>
          <t>R350-0005</t>
        </is>
      </c>
      <c r="C8" s="9" t="inlineStr">
        <is>
          <t>Asterion ツ</t>
        </is>
      </c>
      <c r="D8" s="9" t="inlineStr">
        <is>
          <t>ASTERION</t>
        </is>
      </c>
      <c r="E8" s="9" t="inlineStr">
        <is>
          <t>Exact name match (Pass 1) via canonical</t>
        </is>
      </c>
      <c r="F8" s="10" t="n">
        <v>312465422</v>
      </c>
      <c r="G8" s="10" t="n">
        <v>29352192962</v>
      </c>
      <c r="H8" s="10" t="n">
        <v>6826900</v>
      </c>
      <c r="I8" s="10" t="n">
        <v>310280775</v>
      </c>
      <c r="J8" s="10" t="n">
        <v>30890317548</v>
      </c>
      <c r="K8" s="10" t="n">
        <v>329900</v>
      </c>
      <c r="L8" s="11">
        <f>I8-F8</f>
        <v/>
      </c>
      <c r="M8" s="12">
        <f>IFERROR((I8-F8)/F8,"")</f>
        <v/>
      </c>
      <c r="N8" s="13">
        <f>J8-G8</f>
        <v/>
      </c>
      <c r="O8" s="14">
        <f>IFERROR((J8-G8)/G8,"")</f>
        <v/>
      </c>
      <c r="P8" s="11">
        <f>K8-H8</f>
        <v/>
      </c>
    </row>
    <row r="9">
      <c r="A9" s="2" t="n">
        <v>5</v>
      </c>
      <c r="B9" s="2" t="inlineStr">
        <is>
          <t>R350-0250</t>
        </is>
      </c>
      <c r="C9" s="2" t="inlineStr">
        <is>
          <t>FinistBrFalcon</t>
        </is>
      </c>
      <c r="D9" s="2" t="inlineStr">
        <is>
          <t>FinistBrFalcon</t>
        </is>
      </c>
      <c r="E9" s="2" t="inlineStr">
        <is>
          <t>Exact name match (Pass 1) via canonical</t>
        </is>
      </c>
      <c r="F9" s="4" t="n">
        <v>298464313</v>
      </c>
      <c r="G9" s="4" t="n">
        <v>30117120688</v>
      </c>
      <c r="H9" s="4" t="n">
        <v>8375384</v>
      </c>
      <c r="I9" s="4" t="n">
        <v>297883139</v>
      </c>
      <c r="J9" s="4" t="n">
        <v>33548535880</v>
      </c>
      <c r="K9" s="4" t="n">
        <v>235600</v>
      </c>
      <c r="L9" s="5">
        <f>I9-F9</f>
        <v/>
      </c>
      <c r="M9" s="6">
        <f>IFERROR((I9-F9)/F9,"")</f>
        <v/>
      </c>
      <c r="N9" s="7">
        <f>J9-G9</f>
        <v/>
      </c>
      <c r="O9" s="8">
        <f>IFERROR((J9-G9)/G9,"")</f>
        <v/>
      </c>
      <c r="P9" s="5">
        <f>K9-H9</f>
        <v/>
      </c>
    </row>
    <row r="10">
      <c r="A10" s="9" t="n">
        <v>6</v>
      </c>
      <c r="B10" s="9" t="inlineStr">
        <is>
          <t>R350-0007</t>
        </is>
      </c>
      <c r="C10" s="9" t="inlineStr">
        <is>
          <t>Lastangel001</t>
        </is>
      </c>
      <c r="D10" s="9" t="inlineStr">
        <is>
          <t>Lastangel001</t>
        </is>
      </c>
      <c r="E10" s="9" t="inlineStr">
        <is>
          <t>Exact name match (Pass 1) via canonical</t>
        </is>
      </c>
      <c r="F10" s="10" t="n">
        <v>288362799</v>
      </c>
      <c r="G10" s="10" t="n">
        <v>21663422094</v>
      </c>
      <c r="H10" s="10" t="n">
        <v>10230893</v>
      </c>
      <c r="I10" s="10" t="n">
        <v>256056577</v>
      </c>
      <c r="J10" s="10" t="n">
        <v>22906829035</v>
      </c>
      <c r="K10" s="10" t="n">
        <v>33000</v>
      </c>
      <c r="L10" s="11">
        <f>I10-F10</f>
        <v/>
      </c>
      <c r="M10" s="12">
        <f>IFERROR((I10-F10)/F10,"")</f>
        <v/>
      </c>
      <c r="N10" s="13">
        <f>J10-G10</f>
        <v/>
      </c>
      <c r="O10" s="14">
        <f>IFERROR((J10-G10)/G10,"")</f>
        <v/>
      </c>
      <c r="P10" s="11">
        <f>K10-H10</f>
        <v/>
      </c>
    </row>
    <row r="11">
      <c r="A11" s="2" t="n">
        <v>7</v>
      </c>
      <c r="B11" s="2" t="inlineStr">
        <is>
          <t>R350-0008</t>
        </is>
      </c>
      <c r="C11" s="2" t="inlineStr">
        <is>
          <t>CRx StalinIV</t>
        </is>
      </c>
      <c r="D11" s="2" t="inlineStr">
        <is>
          <t>CRx StalinIV</t>
        </is>
      </c>
      <c r="E11" s="2" t="inlineStr">
        <is>
          <t>Exact name match (Pass 1) via canonical</t>
        </is>
      </c>
      <c r="F11" s="4" t="n">
        <v>279403460</v>
      </c>
      <c r="G11" s="4" t="n">
        <v>11857465931</v>
      </c>
      <c r="H11" s="4" t="n">
        <v>15784264</v>
      </c>
      <c r="I11" s="4" t="n">
        <v>276670394</v>
      </c>
      <c r="J11" s="4" t="n">
        <v>12652779991</v>
      </c>
      <c r="K11" s="4" t="n">
        <v>170000</v>
      </c>
      <c r="L11" s="5">
        <f>I11-F11</f>
        <v/>
      </c>
      <c r="M11" s="6">
        <f>IFERROR((I11-F11)/F11,"")</f>
        <v/>
      </c>
      <c r="N11" s="7">
        <f>J11-G11</f>
        <v/>
      </c>
      <c r="O11" s="8">
        <f>IFERROR((J11-G11)/G11,"")</f>
        <v/>
      </c>
      <c r="P11" s="5">
        <f>K11-H11</f>
        <v/>
      </c>
    </row>
    <row r="12">
      <c r="A12" s="9" t="n">
        <v>8</v>
      </c>
      <c r="B12" s="9" t="inlineStr">
        <is>
          <t>R350-0014</t>
        </is>
      </c>
      <c r="C12" s="9" t="inlineStr">
        <is>
          <t>Shebeastinem</t>
        </is>
      </c>
      <c r="D12" s="9" t="inlineStr">
        <is>
          <t>Shebeastinem</t>
        </is>
      </c>
      <c r="E12" s="9" t="inlineStr">
        <is>
          <t>Exact name match (Pass 1) via canonical</t>
        </is>
      </c>
      <c r="F12" s="10" t="n">
        <v>271909156</v>
      </c>
      <c r="G12" s="10" t="n">
        <v>45548248984</v>
      </c>
      <c r="H12" s="10" t="n">
        <v>736800</v>
      </c>
      <c r="I12" s="10" t="n">
        <v>275298989</v>
      </c>
      <c r="J12" s="10" t="n">
        <v>48145823364</v>
      </c>
      <c r="K12" s="10" t="n">
        <v>400</v>
      </c>
      <c r="L12" s="13">
        <f>I12-F12</f>
        <v/>
      </c>
      <c r="M12" s="16">
        <f>IFERROR((I12-F12)/F12,"")</f>
        <v/>
      </c>
      <c r="N12" s="13">
        <f>J12-G12</f>
        <v/>
      </c>
      <c r="O12" s="14">
        <f>IFERROR((J12-G12)/G12,"")</f>
        <v/>
      </c>
      <c r="P12" s="11">
        <f>K12-H12</f>
        <v/>
      </c>
    </row>
    <row r="13">
      <c r="A13" s="2" t="n">
        <v>9</v>
      </c>
      <c r="B13" s="2" t="inlineStr">
        <is>
          <t>R350-0006</t>
        </is>
      </c>
      <c r="C13" s="2" t="inlineStr">
        <is>
          <t>skywraith</t>
        </is>
      </c>
      <c r="D13" s="2" t="inlineStr">
        <is>
          <t>skywraith</t>
        </is>
      </c>
      <c r="E13" s="2" t="inlineStr">
        <is>
          <t>Exact name match (Pass 1) via canonical</t>
        </is>
      </c>
      <c r="F13" s="4" t="n">
        <v>269883465</v>
      </c>
      <c r="G13" s="4" t="n">
        <v>9109835335</v>
      </c>
      <c r="H13" s="4" t="n">
        <v>41531657</v>
      </c>
      <c r="I13" s="4" t="n">
        <v>255337357</v>
      </c>
      <c r="J13" s="4" t="n">
        <v>9266715671</v>
      </c>
      <c r="K13" s="4" t="n">
        <v>11800</v>
      </c>
      <c r="L13" s="5">
        <f>I13-F13</f>
        <v/>
      </c>
      <c r="M13" s="6">
        <f>IFERROR((I13-F13)/F13,"")</f>
        <v/>
      </c>
      <c r="N13" s="7">
        <f>J13-G13</f>
        <v/>
      </c>
      <c r="O13" s="8">
        <f>IFERROR((J13-G13)/G13,"")</f>
        <v/>
      </c>
      <c r="P13" s="5">
        <f>K13-H13</f>
        <v/>
      </c>
    </row>
    <row r="14">
      <c r="A14" s="9" t="n">
        <v>10</v>
      </c>
      <c r="B14" s="9" t="inlineStr">
        <is>
          <t>R350-0017</t>
        </is>
      </c>
      <c r="C14" s="9" t="inlineStr">
        <is>
          <t>Colt Canon</t>
        </is>
      </c>
      <c r="D14" s="9" t="inlineStr">
        <is>
          <t>Colt Canon</t>
        </is>
      </c>
      <c r="E14" s="9" t="inlineStr">
        <is>
          <t>Exact name match (Pass 1) via canonical</t>
        </is>
      </c>
      <c r="F14" s="10" t="n">
        <v>250140205</v>
      </c>
      <c r="G14" s="10" t="n">
        <v>13600321862</v>
      </c>
      <c r="H14" s="10" t="n">
        <v>20496560</v>
      </c>
      <c r="I14" s="10" t="n">
        <v>247056002</v>
      </c>
      <c r="J14" s="10" t="n">
        <v>14359276654</v>
      </c>
      <c r="K14" s="10" t="n">
        <v>521463</v>
      </c>
      <c r="L14" s="11">
        <f>I14-F14</f>
        <v/>
      </c>
      <c r="M14" s="12">
        <f>IFERROR((I14-F14)/F14,"")</f>
        <v/>
      </c>
      <c r="N14" s="13">
        <f>J14-G14</f>
        <v/>
      </c>
      <c r="O14" s="14">
        <f>IFERROR((J14-G14)/G14,"")</f>
        <v/>
      </c>
      <c r="P14" s="11">
        <f>K14-H14</f>
        <v/>
      </c>
    </row>
    <row r="15">
      <c r="A15" s="2" t="n">
        <v>11</v>
      </c>
      <c r="B15" s="2" t="inlineStr">
        <is>
          <t>R350-0009</t>
        </is>
      </c>
      <c r="C15" s="2" t="inlineStr">
        <is>
          <t>Nordic Oak</t>
        </is>
      </c>
      <c r="D15" s="2" t="inlineStr">
        <is>
          <t>Nordic Oak</t>
        </is>
      </c>
      <c r="E15" s="2" t="inlineStr">
        <is>
          <t>Exact name match (Pass 1) via canonical</t>
        </is>
      </c>
      <c r="F15" s="4" t="n">
        <v>248443422</v>
      </c>
      <c r="G15" s="4" t="n">
        <v>15249149365</v>
      </c>
      <c r="H15" s="4" t="n">
        <v>33464067</v>
      </c>
      <c r="I15" s="4" t="n">
        <v>242251788</v>
      </c>
      <c r="J15" s="4" t="n">
        <v>15768777934</v>
      </c>
      <c r="K15" s="4" t="n">
        <v>230600</v>
      </c>
      <c r="L15" s="5">
        <f>I15-F15</f>
        <v/>
      </c>
      <c r="M15" s="6">
        <f>IFERROR((I15-F15)/F15,"")</f>
        <v/>
      </c>
      <c r="N15" s="7">
        <f>J15-G15</f>
        <v/>
      </c>
      <c r="O15" s="8">
        <f>IFERROR((J15-G15)/G15,"")</f>
        <v/>
      </c>
      <c r="P15" s="5">
        <f>K15-H15</f>
        <v/>
      </c>
    </row>
    <row r="16">
      <c r="A16" s="9" t="n">
        <v>12</v>
      </c>
      <c r="B16" s="9" t="inlineStr">
        <is>
          <t>R350-0015</t>
        </is>
      </c>
      <c r="C16" s="9" t="inlineStr">
        <is>
          <t>TikiCat</t>
        </is>
      </c>
      <c r="D16" s="9" t="inlineStr">
        <is>
          <t>TikiCat</t>
        </is>
      </c>
      <c r="E16" s="9" t="inlineStr">
        <is>
          <t>Exact name match (Pass 1) via canonical</t>
        </is>
      </c>
      <c r="F16" s="10" t="n">
        <v>241226970</v>
      </c>
      <c r="G16" s="10" t="n">
        <v>9707007674</v>
      </c>
      <c r="H16" s="10" t="n">
        <v>20952122</v>
      </c>
      <c r="I16" s="10" t="n">
        <v>227329036</v>
      </c>
      <c r="J16" s="10" t="n">
        <v>10085298941</v>
      </c>
      <c r="K16" s="10" t="n">
        <v>54000</v>
      </c>
      <c r="L16" s="11">
        <f>I16-F16</f>
        <v/>
      </c>
      <c r="M16" s="12">
        <f>IFERROR((I16-F16)/F16,"")</f>
        <v/>
      </c>
      <c r="N16" s="13">
        <f>J16-G16</f>
        <v/>
      </c>
      <c r="O16" s="14">
        <f>IFERROR((J16-G16)/G16,"")</f>
        <v/>
      </c>
      <c r="P16" s="11">
        <f>K16-H16</f>
        <v/>
      </c>
    </row>
    <row r="17">
      <c r="A17" s="2" t="n">
        <v>13</v>
      </c>
      <c r="B17" s="2" t="inlineStr">
        <is>
          <t>R350-0030</t>
        </is>
      </c>
      <c r="C17" s="2" t="inlineStr">
        <is>
          <t>Frozen</t>
        </is>
      </c>
      <c r="D17" s="2" t="inlineStr">
        <is>
          <t>Frozen</t>
        </is>
      </c>
      <c r="E17" s="2" t="inlineStr">
        <is>
          <t>Exact name match (Pass 1) via canonical</t>
        </is>
      </c>
      <c r="F17" s="4" t="n">
        <v>239663468</v>
      </c>
      <c r="G17" s="4" t="n">
        <v>2433313554</v>
      </c>
      <c r="H17" s="4" t="n">
        <v>7589867</v>
      </c>
      <c r="I17" s="4" t="n">
        <v>215247797</v>
      </c>
      <c r="J17" s="4" t="n">
        <v>2522403021</v>
      </c>
      <c r="K17" s="4" t="n">
        <v>8369690</v>
      </c>
      <c r="L17" s="5">
        <f>I17-F17</f>
        <v/>
      </c>
      <c r="M17" s="6">
        <f>IFERROR((I17-F17)/F17,"")</f>
        <v/>
      </c>
      <c r="N17" s="7">
        <f>J17-G17</f>
        <v/>
      </c>
      <c r="O17" s="8">
        <f>IFERROR((J17-G17)/G17,"")</f>
        <v/>
      </c>
      <c r="P17" s="7">
        <f>K17-H17</f>
        <v/>
      </c>
    </row>
    <row r="18">
      <c r="A18" s="9" t="n">
        <v>14</v>
      </c>
      <c r="B18" s="9" t="inlineStr">
        <is>
          <t>R350-0021</t>
        </is>
      </c>
      <c r="C18" s="9" t="inlineStr">
        <is>
          <t>XVenomWolfX</t>
        </is>
      </c>
      <c r="D18" s="9" t="inlineStr">
        <is>
          <t>DANIEL SHEHU</t>
        </is>
      </c>
      <c r="E18" s="9" t="inlineStr">
        <is>
          <t>Exact name match (Pass 1) via canonical</t>
        </is>
      </c>
      <c r="F18" s="10" t="n">
        <v>235327149</v>
      </c>
      <c r="G18" s="10" t="n">
        <v>23063477575</v>
      </c>
      <c r="H18" s="10" t="n">
        <v>4802000</v>
      </c>
      <c r="I18" s="10" t="n">
        <v>229619808</v>
      </c>
      <c r="J18" s="10" t="n">
        <v>23722503553</v>
      </c>
      <c r="K18" s="10" t="n">
        <v>207900</v>
      </c>
      <c r="L18" s="11">
        <f>I18-F18</f>
        <v/>
      </c>
      <c r="M18" s="12">
        <f>IFERROR((I18-F18)/F18,"")</f>
        <v/>
      </c>
      <c r="N18" s="13">
        <f>J18-G18</f>
        <v/>
      </c>
      <c r="O18" s="14">
        <f>IFERROR((J18-G18)/G18,"")</f>
        <v/>
      </c>
      <c r="P18" s="11">
        <f>K18-H18</f>
        <v/>
      </c>
    </row>
    <row r="19">
      <c r="A19" s="2" t="n">
        <v>15</v>
      </c>
      <c r="B19" s="2" t="inlineStr">
        <is>
          <t>R350-0011</t>
        </is>
      </c>
      <c r="C19" s="2" t="inlineStr">
        <is>
          <t>Anew27</t>
        </is>
      </c>
      <c r="D19" s="2" t="inlineStr">
        <is>
          <t>Anew27</t>
        </is>
      </c>
      <c r="E19" s="2" t="inlineStr">
        <is>
          <t>Exact name match (Pass 1) via canonical</t>
        </is>
      </c>
      <c r="F19" s="4" t="n">
        <v>225752914</v>
      </c>
      <c r="G19" s="4" t="n">
        <v>14529944043</v>
      </c>
      <c r="H19" s="4" t="n">
        <v>1402180</v>
      </c>
      <c r="I19" s="4" t="n">
        <v>233418930</v>
      </c>
      <c r="J19" s="4" t="n">
        <v>14801502010</v>
      </c>
      <c r="K19" s="4" t="n">
        <v>6300</v>
      </c>
      <c r="L19" s="7">
        <f>I19-F19</f>
        <v/>
      </c>
      <c r="M19" s="15">
        <f>IFERROR((I19-F19)/F19,"")</f>
        <v/>
      </c>
      <c r="N19" s="7">
        <f>J19-G19</f>
        <v/>
      </c>
      <c r="O19" s="8">
        <f>IFERROR((J19-G19)/G19,"")</f>
        <v/>
      </c>
      <c r="P19" s="5">
        <f>K19-H19</f>
        <v/>
      </c>
    </row>
    <row r="20">
      <c r="A20" s="9" t="n">
        <v>16</v>
      </c>
      <c r="B20" s="9" t="inlineStr">
        <is>
          <t>R350-0026</t>
        </is>
      </c>
      <c r="C20" s="9" t="inlineStr">
        <is>
          <t>Kumiho</t>
        </is>
      </c>
      <c r="D20" s="9" t="inlineStr">
        <is>
          <t>Kumiho</t>
        </is>
      </c>
      <c r="E20" s="9" t="inlineStr">
        <is>
          <t>Exact name match (Pass 1) via canonical</t>
        </is>
      </c>
      <c r="F20" s="10" t="n">
        <v>230001024</v>
      </c>
      <c r="G20" s="10" t="n">
        <v>6626344990</v>
      </c>
      <c r="H20" s="10" t="n">
        <v>897281</v>
      </c>
      <c r="I20" s="10" t="n">
        <v>231599223</v>
      </c>
      <c r="J20" s="10" t="n">
        <v>6980995428</v>
      </c>
      <c r="K20" s="10" t="n">
        <v>1691453</v>
      </c>
      <c r="L20" s="13">
        <f>I20-F20</f>
        <v/>
      </c>
      <c r="M20" s="16">
        <f>IFERROR((I20-F20)/F20,"")</f>
        <v/>
      </c>
      <c r="N20" s="13">
        <f>J20-G20</f>
        <v/>
      </c>
      <c r="O20" s="14">
        <f>IFERROR((J20-G20)/G20,"")</f>
        <v/>
      </c>
      <c r="P20" s="13">
        <f>K20-H20</f>
        <v/>
      </c>
    </row>
    <row r="21">
      <c r="A21" s="2" t="n">
        <v>17</v>
      </c>
      <c r="B21" s="2" t="inlineStr">
        <is>
          <t>R350-0034</t>
        </is>
      </c>
      <c r="C21" s="2" t="inlineStr">
        <is>
          <t>Be3yhunk</t>
        </is>
      </c>
      <c r="D21" s="2" t="inlineStr">
        <is>
          <t>Be3yhunk</t>
        </is>
      </c>
      <c r="E21" s="2" t="inlineStr">
        <is>
          <t>Exact name match (Pass 1) via canonical</t>
        </is>
      </c>
      <c r="F21" s="4" t="n">
        <v>230487441</v>
      </c>
      <c r="G21" s="4" t="n">
        <v>4728475406</v>
      </c>
      <c r="H21" s="4" t="n">
        <v>45323684</v>
      </c>
      <c r="I21" s="4" t="n">
        <v>200385940</v>
      </c>
      <c r="J21" s="4" t="n">
        <v>4856437113</v>
      </c>
      <c r="K21" s="4" t="n">
        <v>46136084</v>
      </c>
      <c r="L21" s="5">
        <f>I21-F21</f>
        <v/>
      </c>
      <c r="M21" s="6">
        <f>IFERROR((I21-F21)/F21,"")</f>
        <v/>
      </c>
      <c r="N21" s="7">
        <f>J21-G21</f>
        <v/>
      </c>
      <c r="O21" s="8">
        <f>IFERROR((J21-G21)/G21,"")</f>
        <v/>
      </c>
      <c r="P21" s="7">
        <f>K21-H21</f>
        <v/>
      </c>
    </row>
    <row r="22">
      <c r="A22" s="9" t="n">
        <v>18</v>
      </c>
      <c r="B22" s="9" t="inlineStr">
        <is>
          <t>R350-0251</t>
        </is>
      </c>
      <c r="C22" s="9" t="inlineStr">
        <is>
          <t>Морффей</t>
        </is>
      </c>
      <c r="D22" s="9" t="inlineStr">
        <is>
          <t>Морффей</t>
        </is>
      </c>
      <c r="E22" s="9" t="inlineStr">
        <is>
          <t>Exact name match (Pass 1) via canonical</t>
        </is>
      </c>
      <c r="F22" s="10" t="n">
        <v>228340239</v>
      </c>
      <c r="G22" s="10" t="n">
        <v>2062507645</v>
      </c>
      <c r="H22" s="10" t="n">
        <v>14723465</v>
      </c>
      <c r="I22" s="10" t="n">
        <v>229560634</v>
      </c>
      <c r="J22" s="10" t="n">
        <v>2062915213</v>
      </c>
      <c r="K22" s="10" t="n">
        <v>15454494</v>
      </c>
      <c r="L22" s="13">
        <f>I22-F22</f>
        <v/>
      </c>
      <c r="M22" s="16">
        <f>IFERROR((I22-F22)/F22,"")</f>
        <v/>
      </c>
      <c r="N22" s="13">
        <f>J22-G22</f>
        <v/>
      </c>
      <c r="O22" s="14">
        <f>IFERROR((J22-G22)/G22,"")</f>
        <v/>
      </c>
      <c r="P22" s="13">
        <f>K22-H22</f>
        <v/>
      </c>
    </row>
    <row r="23">
      <c r="A23" s="2" t="n">
        <v>19</v>
      </c>
      <c r="B23" s="2" t="inlineStr">
        <is>
          <t>R350-0016</t>
        </is>
      </c>
      <c r="C23" s="2" t="inlineStr">
        <is>
          <t>KenAROK</t>
        </is>
      </c>
      <c r="D23" s="2" t="inlineStr">
        <is>
          <t>KenAROK</t>
        </is>
      </c>
      <c r="E23" s="2" t="inlineStr">
        <is>
          <t>Exact name match (Pass 1) via canonical</t>
        </is>
      </c>
      <c r="F23" s="4" t="n">
        <v>228286968</v>
      </c>
      <c r="G23" s="4" t="n">
        <v>7304663893</v>
      </c>
      <c r="H23" s="4" t="n">
        <v>83375309</v>
      </c>
      <c r="I23" s="4" t="n">
        <v>226375318</v>
      </c>
      <c r="J23" s="4" t="n">
        <v>7532537082</v>
      </c>
      <c r="K23" s="4" t="n">
        <v>133600</v>
      </c>
      <c r="L23" s="5">
        <f>I23-F23</f>
        <v/>
      </c>
      <c r="M23" s="6">
        <f>IFERROR((I23-F23)/F23,"")</f>
        <v/>
      </c>
      <c r="N23" s="7">
        <f>J23-G23</f>
        <v/>
      </c>
      <c r="O23" s="8">
        <f>IFERROR((J23-G23)/G23,"")</f>
        <v/>
      </c>
      <c r="P23" s="5">
        <f>K23-H23</f>
        <v/>
      </c>
    </row>
    <row r="24">
      <c r="A24" s="9" t="n">
        <v>20</v>
      </c>
      <c r="B24" s="9" t="inlineStr">
        <is>
          <t>R350-0036</t>
        </is>
      </c>
      <c r="C24" s="9" t="inlineStr">
        <is>
          <t>Mossad 007</t>
        </is>
      </c>
      <c r="D24" s="9" t="inlineStr">
        <is>
          <t>Mossad 007</t>
        </is>
      </c>
      <c r="E24" s="9" t="inlineStr">
        <is>
          <t>Exact name match (Pass 1) via canonical</t>
        </is>
      </c>
      <c r="F24" s="10" t="n">
        <v>227995245</v>
      </c>
      <c r="G24" s="10" t="n">
        <v>3442333398</v>
      </c>
      <c r="H24" s="10" t="n">
        <v>82260492</v>
      </c>
      <c r="I24" s="10" t="n">
        <v>220384704</v>
      </c>
      <c r="J24" s="10" t="n">
        <v>3490264971</v>
      </c>
      <c r="K24" s="10" t="n">
        <v>83115092</v>
      </c>
      <c r="L24" s="11">
        <f>I24-F24</f>
        <v/>
      </c>
      <c r="M24" s="12">
        <f>IFERROR((I24-F24)/F24,"")</f>
        <v/>
      </c>
      <c r="N24" s="13">
        <f>J24-G24</f>
        <v/>
      </c>
      <c r="O24" s="14">
        <f>IFERROR((J24-G24)/G24,"")</f>
        <v/>
      </c>
      <c r="P24" s="13">
        <f>K24-H24</f>
        <v/>
      </c>
    </row>
    <row r="25">
      <c r="A25" s="2" t="n">
        <v>21</v>
      </c>
      <c r="B25" s="2" t="inlineStr">
        <is>
          <t>R350-0027</t>
        </is>
      </c>
      <c r="C25" s="2" t="inlineStr">
        <is>
          <t>MONSTER DONG</t>
        </is>
      </c>
      <c r="D25" s="2" t="inlineStr">
        <is>
          <t>MONSTER DONG</t>
        </is>
      </c>
      <c r="E25" s="2" t="inlineStr">
        <is>
          <t>Exact name match (Pass 1) via canonical</t>
        </is>
      </c>
      <c r="F25" s="4" t="n">
        <v>227753911</v>
      </c>
      <c r="G25" s="4" t="n">
        <v>33381976573</v>
      </c>
      <c r="H25" s="4" t="n">
        <v>14196490</v>
      </c>
      <c r="I25" s="4" t="n">
        <v>226143778</v>
      </c>
      <c r="J25" s="4" t="n">
        <v>37800476342</v>
      </c>
      <c r="K25" s="4" t="n">
        <v>36300</v>
      </c>
      <c r="L25" s="5">
        <f>I25-F25</f>
        <v/>
      </c>
      <c r="M25" s="6">
        <f>IFERROR((I25-F25)/F25,"")</f>
        <v/>
      </c>
      <c r="N25" s="7">
        <f>J25-G25</f>
        <v/>
      </c>
      <c r="O25" s="8">
        <f>IFERROR((J25-G25)/G25,"")</f>
        <v/>
      </c>
      <c r="P25" s="5">
        <f>K25-H25</f>
        <v/>
      </c>
    </row>
    <row r="26">
      <c r="A26" s="9" t="n">
        <v>22</v>
      </c>
      <c r="B26" s="9" t="inlineStr">
        <is>
          <t>R350-0032</t>
        </is>
      </c>
      <c r="C26" s="9" t="inlineStr">
        <is>
          <t>Phá Quân</t>
        </is>
      </c>
      <c r="D26" s="9" t="inlineStr">
        <is>
          <t>Phá Quân</t>
        </is>
      </c>
      <c r="E26" s="9" t="inlineStr">
        <is>
          <t>Exact name match (Pass 1) via canonical</t>
        </is>
      </c>
      <c r="F26" s="10" t="n">
        <v>227224634</v>
      </c>
      <c r="G26" s="10" t="n">
        <v>2182189240</v>
      </c>
      <c r="H26" s="10" t="n">
        <v>14376909</v>
      </c>
      <c r="I26" s="10" t="n">
        <v>207057748</v>
      </c>
      <c r="J26" s="10" t="n">
        <v>2223690599</v>
      </c>
      <c r="K26" s="10" t="n">
        <v>15213767</v>
      </c>
      <c r="L26" s="11">
        <f>I26-F26</f>
        <v/>
      </c>
      <c r="M26" s="12">
        <f>IFERROR((I26-F26)/F26,"")</f>
        <v/>
      </c>
      <c r="N26" s="13">
        <f>J26-G26</f>
        <v/>
      </c>
      <c r="O26" s="14">
        <f>IFERROR((J26-G26)/G26,"")</f>
        <v/>
      </c>
      <c r="P26" s="13">
        <f>K26-H26</f>
        <v/>
      </c>
    </row>
    <row r="27">
      <c r="A27" s="2" t="n">
        <v>23</v>
      </c>
      <c r="B27" s="2" t="inlineStr">
        <is>
          <t>R350-0043</t>
        </is>
      </c>
      <c r="C27" s="2" t="inlineStr">
        <is>
          <t>Jiren</t>
        </is>
      </c>
      <c r="D27" s="2" t="inlineStr">
        <is>
          <t>Jiren</t>
        </is>
      </c>
      <c r="E27" s="2" t="inlineStr">
        <is>
          <t>Exact name match (Pass 1) via canonical</t>
        </is>
      </c>
      <c r="F27" s="4" t="n">
        <v>225436231</v>
      </c>
      <c r="G27" s="4" t="n">
        <v>5120902572</v>
      </c>
      <c r="H27" s="4" t="n">
        <v>36076142</v>
      </c>
      <c r="I27" s="4" t="n">
        <v>225004816</v>
      </c>
      <c r="J27" s="4" t="n">
        <v>5250204437</v>
      </c>
      <c r="K27" s="4" t="n">
        <v>36639542</v>
      </c>
      <c r="L27" s="5">
        <f>I27-F27</f>
        <v/>
      </c>
      <c r="M27" s="6">
        <f>IFERROR((I27-F27)/F27,"")</f>
        <v/>
      </c>
      <c r="N27" s="7">
        <f>J27-G27</f>
        <v/>
      </c>
      <c r="O27" s="8">
        <f>IFERROR((J27-G27)/G27,"")</f>
        <v/>
      </c>
      <c r="P27" s="7">
        <f>K27-H27</f>
        <v/>
      </c>
    </row>
    <row r="28">
      <c r="A28" s="9" t="n">
        <v>24</v>
      </c>
      <c r="B28" s="9" t="inlineStr">
        <is>
          <t>R350-0048</t>
        </is>
      </c>
      <c r="C28" s="9" t="inlineStr">
        <is>
          <t>MILFnCookies</t>
        </is>
      </c>
      <c r="D28" s="9" t="inlineStr">
        <is>
          <t>MILFnCookies</t>
        </is>
      </c>
      <c r="E28" s="9" t="inlineStr">
        <is>
          <t>Exact name match (Pass 1) via canonical</t>
        </is>
      </c>
      <c r="F28" s="10" t="n">
        <v>217049466</v>
      </c>
      <c r="G28" s="10" t="n">
        <v>6131614016</v>
      </c>
      <c r="H28" s="10" t="n">
        <v>8611814</v>
      </c>
      <c r="I28" s="10" t="n">
        <v>225257710</v>
      </c>
      <c r="J28" s="10" t="n">
        <v>6767584190</v>
      </c>
      <c r="K28" s="10" t="n">
        <v>265600</v>
      </c>
      <c r="L28" s="13">
        <f>I28-F28</f>
        <v/>
      </c>
      <c r="M28" s="16">
        <f>IFERROR((I28-F28)/F28,"")</f>
        <v/>
      </c>
      <c r="N28" s="13">
        <f>J28-G28</f>
        <v/>
      </c>
      <c r="O28" s="14">
        <f>IFERROR((J28-G28)/G28,"")</f>
        <v/>
      </c>
      <c r="P28" s="11">
        <f>K28-H28</f>
        <v/>
      </c>
    </row>
    <row r="29">
      <c r="A29" s="2" t="n">
        <v>25</v>
      </c>
      <c r="B29" s="2" t="inlineStr">
        <is>
          <t>R350-0018</t>
        </is>
      </c>
      <c r="C29" s="2" t="inlineStr">
        <is>
          <t>ZVYAG</t>
        </is>
      </c>
      <c r="D29" s="2" t="inlineStr">
        <is>
          <t>ZVYAG</t>
        </is>
      </c>
      <c r="E29" s="2" t="inlineStr">
        <is>
          <t>Exact name match (Pass 1) via canonical</t>
        </is>
      </c>
      <c r="F29" s="4" t="n">
        <v>224310659</v>
      </c>
      <c r="G29" s="4" t="n">
        <v>18657935967</v>
      </c>
      <c r="H29" s="4" t="n">
        <v>1020700</v>
      </c>
      <c r="I29" s="4" t="n">
        <v>222854973</v>
      </c>
      <c r="J29" s="4" t="n">
        <v>19719179441</v>
      </c>
      <c r="K29" s="4" t="n">
        <v>300</v>
      </c>
      <c r="L29" s="5">
        <f>I29-F29</f>
        <v/>
      </c>
      <c r="M29" s="6">
        <f>IFERROR((I29-F29)/F29,"")</f>
        <v/>
      </c>
      <c r="N29" s="7">
        <f>J29-G29</f>
        <v/>
      </c>
      <c r="O29" s="8">
        <f>IFERROR((J29-G29)/G29,"")</f>
        <v/>
      </c>
      <c r="P29" s="5">
        <f>K29-H29</f>
        <v/>
      </c>
    </row>
    <row r="30">
      <c r="A30" s="9" t="n">
        <v>26</v>
      </c>
      <c r="B30" s="9" t="inlineStr">
        <is>
          <t>R350-0253</t>
        </is>
      </c>
      <c r="C30" s="9" t="inlineStr">
        <is>
          <t>HellHool</t>
        </is>
      </c>
      <c r="D30" s="9" t="inlineStr">
        <is>
          <t>HellHool</t>
        </is>
      </c>
      <c r="E30" s="9" t="inlineStr">
        <is>
          <t>Exact name match (Pass 1) via canonical</t>
        </is>
      </c>
      <c r="F30" s="10" t="n">
        <v>223820913</v>
      </c>
      <c r="G30" s="10" t="n">
        <v>5884546239</v>
      </c>
      <c r="H30" s="10" t="n">
        <v>1758562</v>
      </c>
      <c r="I30" s="10" t="n">
        <v>213052072</v>
      </c>
      <c r="J30" s="10" t="n">
        <v>6605876763</v>
      </c>
      <c r="K30" s="10" t="n">
        <v>459738</v>
      </c>
      <c r="L30" s="11">
        <f>I30-F30</f>
        <v/>
      </c>
      <c r="M30" s="12">
        <f>IFERROR((I30-F30)/F30,"")</f>
        <v/>
      </c>
      <c r="N30" s="13">
        <f>J30-G30</f>
        <v/>
      </c>
      <c r="O30" s="14">
        <f>IFERROR((J30-G30)/G30,"")</f>
        <v/>
      </c>
      <c r="P30" s="11">
        <f>K30-H30</f>
        <v/>
      </c>
    </row>
    <row r="31">
      <c r="A31" s="2" t="n">
        <v>27</v>
      </c>
      <c r="B31" s="2" t="inlineStr">
        <is>
          <t>R350-0010</t>
        </is>
      </c>
      <c r="C31" s="2" t="inlineStr">
        <is>
          <t>IMPACT</t>
        </is>
      </c>
      <c r="D31" s="2" t="inlineStr">
        <is>
          <t>IMPACT</t>
        </is>
      </c>
      <c r="E31" s="2" t="inlineStr">
        <is>
          <t>Exact name match (Pass 1) via canonical</t>
        </is>
      </c>
      <c r="F31" s="4" t="n">
        <v>220674822</v>
      </c>
      <c r="G31" s="4" t="n">
        <v>11232884309</v>
      </c>
      <c r="H31" s="4" t="n">
        <v>22023877</v>
      </c>
      <c r="I31" s="4" t="n">
        <v>219025897</v>
      </c>
      <c r="J31" s="4" t="n">
        <v>11254804718</v>
      </c>
      <c r="K31" s="4" t="n">
        <v>22412277</v>
      </c>
      <c r="L31" s="5">
        <f>I31-F31</f>
        <v/>
      </c>
      <c r="M31" s="6">
        <f>IFERROR((I31-F31)/F31,"")</f>
        <v/>
      </c>
      <c r="N31" s="7">
        <f>J31-G31</f>
        <v/>
      </c>
      <c r="O31" s="8">
        <f>IFERROR((J31-G31)/G31,"")</f>
        <v/>
      </c>
      <c r="P31" s="7">
        <f>K31-H31</f>
        <v/>
      </c>
    </row>
    <row r="32">
      <c r="A32" s="9" t="n">
        <v>28</v>
      </c>
      <c r="B32" s="9" t="inlineStr">
        <is>
          <t>R350-0020</t>
        </is>
      </c>
      <c r="C32" s="9" t="inlineStr">
        <is>
          <t>Belka</t>
        </is>
      </c>
      <c r="D32" s="9" t="inlineStr">
        <is>
          <t>Belka</t>
        </is>
      </c>
      <c r="E32" s="9" t="inlineStr">
        <is>
          <t>Exact name match (Pass 1) via canonical</t>
        </is>
      </c>
      <c r="F32" s="10" t="n">
        <v>220586764</v>
      </c>
      <c r="G32" s="10" t="n">
        <v>11247896200</v>
      </c>
      <c r="H32" s="10" t="n">
        <v>896900</v>
      </c>
      <c r="I32" s="10" t="n">
        <v>195100845</v>
      </c>
      <c r="J32" s="10" t="n">
        <v>12027724734</v>
      </c>
      <c r="K32" s="10" t="n">
        <v>488100</v>
      </c>
      <c r="L32" s="11">
        <f>I32-F32</f>
        <v/>
      </c>
      <c r="M32" s="12">
        <f>IFERROR((I32-F32)/F32,"")</f>
        <v/>
      </c>
      <c r="N32" s="13">
        <f>J32-G32</f>
        <v/>
      </c>
      <c r="O32" s="14">
        <f>IFERROR((J32-G32)/G32,"")</f>
        <v/>
      </c>
      <c r="P32" s="11">
        <f>K32-H32</f>
        <v/>
      </c>
    </row>
    <row r="33">
      <c r="A33" s="2" t="n">
        <v>29</v>
      </c>
      <c r="B33" s="2" t="inlineStr">
        <is>
          <t>R350-0025</t>
        </is>
      </c>
      <c r="C33" s="2" t="inlineStr">
        <is>
          <t>Viktorvad</t>
        </is>
      </c>
      <c r="D33" s="2" t="inlineStr">
        <is>
          <t>Viktorvad</t>
        </is>
      </c>
      <c r="E33" s="2" t="inlineStr">
        <is>
          <t>Exact name match (Pass 1) via canonical</t>
        </is>
      </c>
      <c r="F33" s="4" t="n">
        <v>220563591</v>
      </c>
      <c r="G33" s="4" t="n">
        <v>7530972114</v>
      </c>
      <c r="H33" s="4" t="n">
        <v>1143200</v>
      </c>
      <c r="I33" s="4" t="n">
        <v>213101078</v>
      </c>
      <c r="J33" s="4" t="n">
        <v>8068946657</v>
      </c>
      <c r="K33" s="4" t="n">
        <v>243200</v>
      </c>
      <c r="L33" s="5">
        <f>I33-F33</f>
        <v/>
      </c>
      <c r="M33" s="6">
        <f>IFERROR((I33-F33)/F33,"")</f>
        <v/>
      </c>
      <c r="N33" s="7">
        <f>J33-G33</f>
        <v/>
      </c>
      <c r="O33" s="8">
        <f>IFERROR((J33-G33)/G33,"")</f>
        <v/>
      </c>
      <c r="P33" s="5">
        <f>K33-H33</f>
        <v/>
      </c>
    </row>
    <row r="34">
      <c r="A34" s="9" t="n">
        <v>30</v>
      </c>
      <c r="B34" s="9" t="inlineStr">
        <is>
          <t>R350-0252</t>
        </is>
      </c>
      <c r="C34" s="9" t="inlineStr">
        <is>
          <t>Dron B Kedax</t>
        </is>
      </c>
      <c r="D34" s="9" t="inlineStr">
        <is>
          <t>Dron B Kedax</t>
        </is>
      </c>
      <c r="E34" s="9" t="inlineStr">
        <is>
          <t>Exact name match (Pass 1) via canonical</t>
        </is>
      </c>
      <c r="F34" s="10" t="n">
        <v>212012022</v>
      </c>
      <c r="G34" s="10" t="n">
        <v>5933637759</v>
      </c>
      <c r="H34" s="10" t="n">
        <v>911700</v>
      </c>
      <c r="I34" s="10" t="n">
        <v>218918881</v>
      </c>
      <c r="J34" s="10" t="n">
        <v>6173832103</v>
      </c>
      <c r="K34" s="10" t="n">
        <v>1706100</v>
      </c>
      <c r="L34" s="13">
        <f>I34-F34</f>
        <v/>
      </c>
      <c r="M34" s="16">
        <f>IFERROR((I34-F34)/F34,"")</f>
        <v/>
      </c>
      <c r="N34" s="13">
        <f>J34-G34</f>
        <v/>
      </c>
      <c r="O34" s="14">
        <f>IFERROR((J34-G34)/G34,"")</f>
        <v/>
      </c>
      <c r="P34" s="13">
        <f>K34-H34</f>
        <v/>
      </c>
    </row>
    <row r="35">
      <c r="A35" s="2" t="n">
        <v>31</v>
      </c>
      <c r="B35" s="2" t="inlineStr">
        <is>
          <t>R350-0031</t>
        </is>
      </c>
      <c r="C35" s="2" t="inlineStr">
        <is>
          <t>DEATH INC</t>
        </is>
      </c>
      <c r="D35" s="2" t="inlineStr">
        <is>
          <t>DEATH INC</t>
        </is>
      </c>
      <c r="E35" s="2" t="inlineStr">
        <is>
          <t>Exact name match (Pass 1) via canonical</t>
        </is>
      </c>
      <c r="F35" s="4" t="n">
        <v>217799329</v>
      </c>
      <c r="G35" s="4" t="n">
        <v>15395466979</v>
      </c>
      <c r="H35" s="4" t="n">
        <v>5577358</v>
      </c>
      <c r="I35" s="4" t="n">
        <v>211780081</v>
      </c>
      <c r="J35" s="4" t="n">
        <v>16055736882</v>
      </c>
      <c r="K35" s="4" t="n">
        <v>238400</v>
      </c>
      <c r="L35" s="5">
        <f>I35-F35</f>
        <v/>
      </c>
      <c r="M35" s="6">
        <f>IFERROR((I35-F35)/F35,"")</f>
        <v/>
      </c>
      <c r="N35" s="7">
        <f>J35-G35</f>
        <v/>
      </c>
      <c r="O35" s="8">
        <f>IFERROR((J35-G35)/G35,"")</f>
        <v/>
      </c>
      <c r="P35" s="5">
        <f>K35-H35</f>
        <v/>
      </c>
    </row>
    <row r="36">
      <c r="A36" s="9" t="n">
        <v>32</v>
      </c>
      <c r="B36" s="9" t="inlineStr">
        <is>
          <t>R350-0028</t>
        </is>
      </c>
      <c r="C36" s="9" t="inlineStr">
        <is>
          <t>MarceLo</t>
        </is>
      </c>
      <c r="D36" s="9" t="inlineStr">
        <is>
          <t>MarceLo</t>
        </is>
      </c>
      <c r="E36" s="9" t="inlineStr">
        <is>
          <t>Exact name match (Pass 1) via canonical</t>
        </is>
      </c>
      <c r="F36" s="10" t="n">
        <v>215975279</v>
      </c>
      <c r="G36" s="10" t="n">
        <v>3468466841</v>
      </c>
      <c r="H36" s="10" t="n">
        <v>1031500</v>
      </c>
      <c r="I36" s="10" t="n">
        <v>210941156</v>
      </c>
      <c r="J36" s="10" t="n">
        <v>3537962720</v>
      </c>
      <c r="K36" s="10" t="n">
        <v>0</v>
      </c>
      <c r="L36" s="11">
        <f>I36-F36</f>
        <v/>
      </c>
      <c r="M36" s="12">
        <f>IFERROR((I36-F36)/F36,"")</f>
        <v/>
      </c>
      <c r="N36" s="13">
        <f>J36-G36</f>
        <v/>
      </c>
      <c r="O36" s="14">
        <f>IFERROR((J36-G36)/G36,"")</f>
        <v/>
      </c>
      <c r="P36" s="11">
        <f>K36-H36</f>
        <v/>
      </c>
    </row>
    <row r="37">
      <c r="A37" s="2" t="n">
        <v>33</v>
      </c>
      <c r="B37" s="2" t="inlineStr">
        <is>
          <t>R350-0058</t>
        </is>
      </c>
      <c r="C37" s="2" t="inlineStr">
        <is>
          <t>Axe HongTrang</t>
        </is>
      </c>
      <c r="D37" s="2" t="inlineStr">
        <is>
          <t>Axe HongTrang</t>
        </is>
      </c>
      <c r="E37" s="2" t="inlineStr">
        <is>
          <t>Exact name match (Pass 1) via canonical</t>
        </is>
      </c>
      <c r="F37" s="4" t="n">
        <v>204678351</v>
      </c>
      <c r="G37" s="4" t="n">
        <v>3530523688</v>
      </c>
      <c r="H37" s="4" t="n">
        <v>131000</v>
      </c>
      <c r="I37" s="4" t="n">
        <v>214667850</v>
      </c>
      <c r="J37" s="4" t="n">
        <v>3633406763</v>
      </c>
      <c r="K37" s="4" t="n">
        <v>1024900</v>
      </c>
      <c r="L37" s="7">
        <f>I37-F37</f>
        <v/>
      </c>
      <c r="M37" s="15">
        <f>IFERROR((I37-F37)/F37,"")</f>
        <v/>
      </c>
      <c r="N37" s="7">
        <f>J37-G37</f>
        <v/>
      </c>
      <c r="O37" s="8">
        <f>IFERROR((J37-G37)/G37,"")</f>
        <v/>
      </c>
      <c r="P37" s="7">
        <f>K37-H37</f>
        <v/>
      </c>
    </row>
    <row r="38">
      <c r="A38" s="9" t="n">
        <v>34</v>
      </c>
      <c r="B38" s="9" t="inlineStr">
        <is>
          <t>R350-0064</t>
        </is>
      </c>
      <c r="C38" s="9" t="inlineStr">
        <is>
          <t>ОлежикА5</t>
        </is>
      </c>
      <c r="D38" s="9" t="inlineStr">
        <is>
          <t>ОлежикА5</t>
        </is>
      </c>
      <c r="E38" s="9" t="inlineStr">
        <is>
          <t>Exact name match (Pass 1) via canonical</t>
        </is>
      </c>
      <c r="F38" s="10" t="n">
        <v>213804734</v>
      </c>
      <c r="G38" s="10" t="n">
        <v>3982331585</v>
      </c>
      <c r="H38" s="10" t="n">
        <v>1209926</v>
      </c>
      <c r="I38" s="10" t="n">
        <v>213339710</v>
      </c>
      <c r="J38" s="10" t="n">
        <v>4178970184</v>
      </c>
      <c r="K38" s="10" t="n">
        <v>350700</v>
      </c>
      <c r="L38" s="11">
        <f>I38-F38</f>
        <v/>
      </c>
      <c r="M38" s="12">
        <f>IFERROR((I38-F38)/F38,"")</f>
        <v/>
      </c>
      <c r="N38" s="13">
        <f>J38-G38</f>
        <v/>
      </c>
      <c r="O38" s="14">
        <f>IFERROR((J38-G38)/G38,"")</f>
        <v/>
      </c>
      <c r="P38" s="11">
        <f>K38-H38</f>
        <v/>
      </c>
    </row>
    <row r="39">
      <c r="A39" s="2" t="n">
        <v>35</v>
      </c>
      <c r="B39" s="2" t="inlineStr">
        <is>
          <t>R350-0023</t>
        </is>
      </c>
      <c r="C39" s="2" t="inlineStr">
        <is>
          <t>Falcon</t>
        </is>
      </c>
      <c r="D39" s="2" t="inlineStr">
        <is>
          <t>Falcon</t>
        </is>
      </c>
      <c r="E39" s="2" t="inlineStr">
        <is>
          <t>Exact name match (Pass 1) via canonical</t>
        </is>
      </c>
      <c r="F39" s="4" t="n">
        <v>210512130</v>
      </c>
      <c r="G39" s="4" t="n">
        <v>3926734810</v>
      </c>
      <c r="H39" s="4" t="n">
        <v>6678505</v>
      </c>
      <c r="I39" s="4" t="n">
        <v>211230743</v>
      </c>
      <c r="J39" s="4" t="n">
        <v>4063874843</v>
      </c>
      <c r="K39" s="4" t="n">
        <v>173400</v>
      </c>
      <c r="L39" s="7">
        <f>I39-F39</f>
        <v/>
      </c>
      <c r="M39" s="15">
        <f>IFERROR((I39-F39)/F39,"")</f>
        <v/>
      </c>
      <c r="N39" s="7">
        <f>J39-G39</f>
        <v/>
      </c>
      <c r="O39" s="8">
        <f>IFERROR((J39-G39)/G39,"")</f>
        <v/>
      </c>
      <c r="P39" s="5">
        <f>K39-H39</f>
        <v/>
      </c>
    </row>
    <row r="40">
      <c r="A40" s="9" t="n">
        <v>36</v>
      </c>
      <c r="B40" s="9" t="inlineStr">
        <is>
          <t>R350-0086</t>
        </is>
      </c>
      <c r="C40" s="9" t="inlineStr">
        <is>
          <t>Viettell</t>
        </is>
      </c>
      <c r="D40" s="9" t="inlineStr">
        <is>
          <t>Viettell</t>
        </is>
      </c>
      <c r="E40" s="9" t="inlineStr">
        <is>
          <t>Exact name match (Pass 1) via canonical</t>
        </is>
      </c>
      <c r="F40" s="10" t="n">
        <v>210457584</v>
      </c>
      <c r="G40" s="10" t="n">
        <v>3072695268</v>
      </c>
      <c r="H40" s="10" t="n">
        <v>26483010</v>
      </c>
      <c r="I40" s="10" t="n">
        <v>199016557</v>
      </c>
      <c r="J40" s="10" t="n">
        <v>3121330274</v>
      </c>
      <c r="K40" s="10" t="n">
        <v>27122998</v>
      </c>
      <c r="L40" s="11">
        <f>I40-F40</f>
        <v/>
      </c>
      <c r="M40" s="12">
        <f>IFERROR((I40-F40)/F40,"")</f>
        <v/>
      </c>
      <c r="N40" s="13">
        <f>J40-G40</f>
        <v/>
      </c>
      <c r="O40" s="14">
        <f>IFERROR((J40-G40)/G40,"")</f>
        <v/>
      </c>
      <c r="P40" s="13">
        <f>K40-H40</f>
        <v/>
      </c>
    </row>
    <row r="41">
      <c r="A41" s="2" t="n">
        <v>37</v>
      </c>
      <c r="B41" s="2" t="inlineStr">
        <is>
          <t>R350-0108</t>
        </is>
      </c>
      <c r="C41" s="2" t="inlineStr">
        <is>
          <t>DEATH isThe WAY</t>
        </is>
      </c>
      <c r="D41" s="2" t="inlineStr">
        <is>
          <t>DEATH isThe WAY</t>
        </is>
      </c>
      <c r="E41" s="2" t="inlineStr">
        <is>
          <t>Exact name match (Pass 1) via canonical</t>
        </is>
      </c>
      <c r="F41" s="4" t="n">
        <v>208997630</v>
      </c>
      <c r="G41" s="4" t="n">
        <v>1049469337</v>
      </c>
      <c r="H41" s="4" t="n">
        <v>5484900</v>
      </c>
      <c r="I41" s="4" t="n">
        <v>208981308</v>
      </c>
      <c r="J41" s="4" t="n">
        <v>1100945392</v>
      </c>
      <c r="K41" s="4" t="n">
        <v>6280600</v>
      </c>
      <c r="L41" s="5">
        <f>I41-F41</f>
        <v/>
      </c>
      <c r="M41" s="6">
        <f>IFERROR((I41-F41)/F41,"")</f>
        <v/>
      </c>
      <c r="N41" s="7">
        <f>J41-G41</f>
        <v/>
      </c>
      <c r="O41" s="8">
        <f>IFERROR((J41-G41)/G41,"")</f>
        <v/>
      </c>
      <c r="P41" s="7">
        <f>K41-H41</f>
        <v/>
      </c>
    </row>
    <row r="42">
      <c r="A42" s="9" t="n">
        <v>38</v>
      </c>
      <c r="B42" s="9" t="inlineStr">
        <is>
          <t>R350-0083</t>
        </is>
      </c>
      <c r="C42" s="9" t="inlineStr">
        <is>
          <t>Mardröm Draugr</t>
        </is>
      </c>
      <c r="D42" s="9" t="inlineStr">
        <is>
          <t>Mardröm Draugr</t>
        </is>
      </c>
      <c r="E42" s="9" t="inlineStr">
        <is>
          <t>Exact name match (Pass 1) via canonical</t>
        </is>
      </c>
      <c r="F42" s="10" t="n">
        <v>200418996</v>
      </c>
      <c r="G42" s="10" t="n">
        <v>5426434894</v>
      </c>
      <c r="H42" s="10" t="n">
        <v>4699250</v>
      </c>
      <c r="I42" s="10" t="n">
        <v>208051228</v>
      </c>
      <c r="J42" s="10" t="n">
        <v>5765819056</v>
      </c>
      <c r="K42" s="10" t="n">
        <v>294716</v>
      </c>
      <c r="L42" s="13">
        <f>I42-F42</f>
        <v/>
      </c>
      <c r="M42" s="16">
        <f>IFERROR((I42-F42)/F42,"")</f>
        <v/>
      </c>
      <c r="N42" s="13">
        <f>J42-G42</f>
        <v/>
      </c>
      <c r="O42" s="14">
        <f>IFERROR((J42-G42)/G42,"")</f>
        <v/>
      </c>
      <c r="P42" s="11">
        <f>K42-H42</f>
        <v/>
      </c>
    </row>
    <row r="43">
      <c r="A43" s="2" t="n">
        <v>39</v>
      </c>
      <c r="B43" s="2" t="inlineStr">
        <is>
          <t>R350-0013</t>
        </is>
      </c>
      <c r="C43" s="2" t="inlineStr">
        <is>
          <t>Cookies</t>
        </is>
      </c>
      <c r="D43" s="2" t="inlineStr">
        <is>
          <t>Cookies</t>
        </is>
      </c>
      <c r="E43" s="2" t="inlineStr">
        <is>
          <t>Exact name match (Pass 1) via canonical</t>
        </is>
      </c>
      <c r="F43" s="4" t="n">
        <v>207870497</v>
      </c>
      <c r="G43" s="4" t="n">
        <v>22203386027</v>
      </c>
      <c r="H43" s="4" t="n">
        <v>1370325</v>
      </c>
      <c r="I43" s="4" t="n">
        <v>207764190</v>
      </c>
      <c r="J43" s="4" t="n">
        <v>23092079163</v>
      </c>
      <c r="K43" s="4" t="n">
        <v>2043125</v>
      </c>
      <c r="L43" s="5">
        <f>I43-F43</f>
        <v/>
      </c>
      <c r="M43" s="6">
        <f>IFERROR((I43-F43)/F43,"")</f>
        <v/>
      </c>
      <c r="N43" s="7">
        <f>J43-G43</f>
        <v/>
      </c>
      <c r="O43" s="8">
        <f>IFERROR((J43-G43)/G43,"")</f>
        <v/>
      </c>
      <c r="P43" s="7">
        <f>K43-H43</f>
        <v/>
      </c>
    </row>
    <row r="44">
      <c r="A44" s="9" t="n">
        <v>40</v>
      </c>
      <c r="B44" s="9" t="inlineStr">
        <is>
          <t>R350-0081</t>
        </is>
      </c>
      <c r="C44" s="9" t="inlineStr">
        <is>
          <t>Rusooo</t>
        </is>
      </c>
      <c r="D44" s="9" t="inlineStr">
        <is>
          <t>Rusooo</t>
        </is>
      </c>
      <c r="E44" s="9" t="inlineStr">
        <is>
          <t>Exact name match (Pass 1) via canonical</t>
        </is>
      </c>
      <c r="F44" s="10" t="n">
        <v>207367406</v>
      </c>
      <c r="G44" s="10" t="n">
        <v>10391588499</v>
      </c>
      <c r="H44" s="10" t="n">
        <v>934440</v>
      </c>
      <c r="I44" s="10" t="n">
        <v>206314908</v>
      </c>
      <c r="J44" s="10" t="n">
        <v>10611753557</v>
      </c>
      <c r="K44" s="10" t="n">
        <v>10000</v>
      </c>
      <c r="L44" s="11">
        <f>I44-F44</f>
        <v/>
      </c>
      <c r="M44" s="12">
        <f>IFERROR((I44-F44)/F44,"")</f>
        <v/>
      </c>
      <c r="N44" s="13">
        <f>J44-G44</f>
        <v/>
      </c>
      <c r="O44" s="14">
        <f>IFERROR((J44-G44)/G44,"")</f>
        <v/>
      </c>
      <c r="P44" s="11">
        <f>K44-H44</f>
        <v/>
      </c>
    </row>
    <row r="45">
      <c r="A45" s="2" t="n">
        <v>41</v>
      </c>
      <c r="B45" s="2" t="inlineStr">
        <is>
          <t>R350-0090</t>
        </is>
      </c>
      <c r="C45" s="2" t="inlineStr">
        <is>
          <t>Thaunt</t>
        </is>
      </c>
      <c r="D45" s="2" t="inlineStr">
        <is>
          <t>Thaunt</t>
        </is>
      </c>
      <c r="E45" s="2" t="inlineStr">
        <is>
          <t>Exact name match (Pass 1) via canonical</t>
        </is>
      </c>
      <c r="F45" s="4" t="n">
        <v>206232658</v>
      </c>
      <c r="G45" s="4" t="n">
        <v>5865860188</v>
      </c>
      <c r="H45" s="4" t="n">
        <v>38306962</v>
      </c>
      <c r="I45" s="4" t="n">
        <v>201188524</v>
      </c>
      <c r="J45" s="4" t="n">
        <v>5990770103</v>
      </c>
      <c r="K45" s="4" t="n">
        <v>38876862</v>
      </c>
      <c r="L45" s="5">
        <f>I45-F45</f>
        <v/>
      </c>
      <c r="M45" s="6">
        <f>IFERROR((I45-F45)/F45,"")</f>
        <v/>
      </c>
      <c r="N45" s="7">
        <f>J45-G45</f>
        <v/>
      </c>
      <c r="O45" s="8">
        <f>IFERROR((J45-G45)/G45,"")</f>
        <v/>
      </c>
      <c r="P45" s="7">
        <f>K45-H45</f>
        <v/>
      </c>
    </row>
    <row r="46">
      <c r="A46" s="9" t="n">
        <v>42</v>
      </c>
      <c r="B46" s="9" t="inlineStr">
        <is>
          <t>R350-0051</t>
        </is>
      </c>
      <c r="C46" s="9" t="inlineStr">
        <is>
          <t>Reggard</t>
        </is>
      </c>
      <c r="D46" s="9" t="inlineStr">
        <is>
          <t>Reggard</t>
        </is>
      </c>
      <c r="E46" s="9" t="inlineStr">
        <is>
          <t>Exact name match (Pass 1) via canonical</t>
        </is>
      </c>
      <c r="F46" s="10" t="n">
        <v>205156700</v>
      </c>
      <c r="G46" s="10" t="n">
        <v>6116721558</v>
      </c>
      <c r="H46" s="10" t="n">
        <v>1553500</v>
      </c>
      <c r="I46" s="10" t="n">
        <v>199197951</v>
      </c>
      <c r="J46" s="10" t="n">
        <v>6230932635</v>
      </c>
      <c r="K46" s="10" t="n">
        <v>2375400</v>
      </c>
      <c r="L46" s="11">
        <f>I46-F46</f>
        <v/>
      </c>
      <c r="M46" s="12">
        <f>IFERROR((I46-F46)/F46,"")</f>
        <v/>
      </c>
      <c r="N46" s="13">
        <f>J46-G46</f>
        <v/>
      </c>
      <c r="O46" s="14">
        <f>IFERROR((J46-G46)/G46,"")</f>
        <v/>
      </c>
      <c r="P46" s="13">
        <f>K46-H46</f>
        <v/>
      </c>
    </row>
    <row r="47">
      <c r="A47" s="2" t="n">
        <v>43</v>
      </c>
      <c r="B47" s="2" t="inlineStr">
        <is>
          <t>R350-0255</t>
        </is>
      </c>
      <c r="C47" s="2" t="inlineStr">
        <is>
          <t>VasilyES</t>
        </is>
      </c>
      <c r="D47" s="2" t="inlineStr">
        <is>
          <t>VasilyES</t>
        </is>
      </c>
      <c r="E47" s="2" t="inlineStr">
        <is>
          <t>Exact name match (Pass 1) via canonical</t>
        </is>
      </c>
      <c r="F47" s="4" t="n">
        <v>204884945</v>
      </c>
      <c r="G47" s="4" t="n">
        <v>12890173281</v>
      </c>
      <c r="H47" s="4" t="n">
        <v>13223758</v>
      </c>
      <c r="I47" s="4" t="n">
        <v>201897103</v>
      </c>
      <c r="J47" s="4" t="n">
        <v>12897755854</v>
      </c>
      <c r="K47" s="4" t="n">
        <v>13854558</v>
      </c>
      <c r="L47" s="5">
        <f>I47-F47</f>
        <v/>
      </c>
      <c r="M47" s="6">
        <f>IFERROR((I47-F47)/F47,"")</f>
        <v/>
      </c>
      <c r="N47" s="7">
        <f>J47-G47</f>
        <v/>
      </c>
      <c r="O47" s="8">
        <f>IFERROR((J47-G47)/G47,"")</f>
        <v/>
      </c>
      <c r="P47" s="7">
        <f>K47-H47</f>
        <v/>
      </c>
    </row>
    <row r="48">
      <c r="A48" s="9" t="n">
        <v>44</v>
      </c>
      <c r="B48" s="9" t="inlineStr">
        <is>
          <t>R350-0022</t>
        </is>
      </c>
      <c r="C48" s="9" t="inlineStr">
        <is>
          <t>CoolFarm</t>
        </is>
      </c>
      <c r="D48" s="9" t="inlineStr">
        <is>
          <t>CoolFarm</t>
        </is>
      </c>
      <c r="E48" s="9" t="inlineStr">
        <is>
          <t>Exact name match (Pass 1) via canonical</t>
        </is>
      </c>
      <c r="F48" s="10" t="n">
        <v>203787793</v>
      </c>
      <c r="G48" s="10" t="n">
        <v>6114037442</v>
      </c>
      <c r="H48" s="10" t="n">
        <v>935218</v>
      </c>
      <c r="I48" s="10" t="n">
        <v>199045163</v>
      </c>
      <c r="J48" s="10" t="n">
        <v>6303584179</v>
      </c>
      <c r="K48" s="10" t="n">
        <v>1827639</v>
      </c>
      <c r="L48" s="11">
        <f>I48-F48</f>
        <v/>
      </c>
      <c r="M48" s="12">
        <f>IFERROR((I48-F48)/F48,"")</f>
        <v/>
      </c>
      <c r="N48" s="13">
        <f>J48-G48</f>
        <v/>
      </c>
      <c r="O48" s="14">
        <f>IFERROR((J48-G48)/G48,"")</f>
        <v/>
      </c>
      <c r="P48" s="13">
        <f>K48-H48</f>
        <v/>
      </c>
    </row>
    <row r="49">
      <c r="A49" s="2" t="n">
        <v>45</v>
      </c>
      <c r="B49" s="2" t="inlineStr">
        <is>
          <t>R350-0024</t>
        </is>
      </c>
      <c r="C49" s="2" t="inlineStr">
        <is>
          <t>SLOW DEATH</t>
        </is>
      </c>
      <c r="D49" s="2" t="inlineStr">
        <is>
          <t>SLOW DEATH</t>
        </is>
      </c>
      <c r="E49" s="2" t="inlineStr">
        <is>
          <t>Exact name match (Pass 1) via canonical</t>
        </is>
      </c>
      <c r="F49" s="4" t="n">
        <v>203464304</v>
      </c>
      <c r="G49" s="4" t="n">
        <v>4206749429</v>
      </c>
      <c r="H49" s="4" t="n">
        <v>19155263</v>
      </c>
      <c r="I49" s="4" t="n">
        <v>197361190</v>
      </c>
      <c r="J49" s="4" t="n">
        <v>4216632348</v>
      </c>
      <c r="K49" s="4" t="n">
        <v>19767963</v>
      </c>
      <c r="L49" s="5">
        <f>I49-F49</f>
        <v/>
      </c>
      <c r="M49" s="6">
        <f>IFERROR((I49-F49)/F49,"")</f>
        <v/>
      </c>
      <c r="N49" s="7">
        <f>J49-G49</f>
        <v/>
      </c>
      <c r="O49" s="8">
        <f>IFERROR((J49-G49)/G49,"")</f>
        <v/>
      </c>
      <c r="P49" s="7">
        <f>K49-H49</f>
        <v/>
      </c>
    </row>
    <row r="50">
      <c r="A50" s="9" t="n">
        <v>46</v>
      </c>
      <c r="B50" s="9" t="inlineStr">
        <is>
          <t>R350-0037</t>
        </is>
      </c>
      <c r="C50" s="9" t="inlineStr">
        <is>
          <t>Phúc XO</t>
        </is>
      </c>
      <c r="D50" s="9" t="inlineStr">
        <is>
          <t>Phúc XO</t>
        </is>
      </c>
      <c r="E50" s="9" t="inlineStr">
        <is>
          <t>Exact name match (Pass 1) via canonical</t>
        </is>
      </c>
      <c r="F50" s="10" t="n">
        <v>203382515</v>
      </c>
      <c r="G50" s="10" t="n">
        <v>2668426110</v>
      </c>
      <c r="H50" s="10" t="n">
        <v>1566539</v>
      </c>
      <c r="I50" s="10" t="n">
        <v>184077486</v>
      </c>
      <c r="J50" s="10" t="n">
        <v>2787202726</v>
      </c>
      <c r="K50" s="10" t="n">
        <v>2402994</v>
      </c>
      <c r="L50" s="11">
        <f>I50-F50</f>
        <v/>
      </c>
      <c r="M50" s="12">
        <f>IFERROR((I50-F50)/F50,"")</f>
        <v/>
      </c>
      <c r="N50" s="13">
        <f>J50-G50</f>
        <v/>
      </c>
      <c r="O50" s="14">
        <f>IFERROR((J50-G50)/G50,"")</f>
        <v/>
      </c>
      <c r="P50" s="13">
        <f>K50-H50</f>
        <v/>
      </c>
    </row>
    <row r="51">
      <c r="A51" s="2" t="n">
        <v>47</v>
      </c>
      <c r="B51" s="2" t="inlineStr">
        <is>
          <t>R350-0256</t>
        </is>
      </c>
      <c r="C51" s="2" t="inlineStr">
        <is>
          <t>TRiSTAN</t>
        </is>
      </c>
      <c r="D51" s="2" t="inlineStr">
        <is>
          <t>TRiSTAN</t>
        </is>
      </c>
      <c r="E51" s="2" t="inlineStr">
        <is>
          <t>Exact name match (Pass 1) via canonical</t>
        </is>
      </c>
      <c r="F51" s="4" t="n">
        <v>202700865</v>
      </c>
      <c r="G51" s="4" t="n">
        <v>3213439112</v>
      </c>
      <c r="H51" s="4" t="n">
        <v>13784309</v>
      </c>
      <c r="I51" s="4" t="n">
        <v>199855693</v>
      </c>
      <c r="J51" s="4" t="n">
        <v>3259442933</v>
      </c>
      <c r="K51" s="4" t="n">
        <v>0</v>
      </c>
      <c r="L51" s="5">
        <f>I51-F51</f>
        <v/>
      </c>
      <c r="M51" s="6">
        <f>IFERROR((I51-F51)/F51,"")</f>
        <v/>
      </c>
      <c r="N51" s="7">
        <f>J51-G51</f>
        <v/>
      </c>
      <c r="O51" s="8">
        <f>IFERROR((J51-G51)/G51,"")</f>
        <v/>
      </c>
      <c r="P51" s="5">
        <f>K51-H51</f>
        <v/>
      </c>
    </row>
    <row r="52">
      <c r="A52" s="9" t="n">
        <v>48</v>
      </c>
      <c r="B52" s="9" t="inlineStr">
        <is>
          <t>R350-0056</t>
        </is>
      </c>
      <c r="C52" s="9" t="inlineStr">
        <is>
          <t>BeastofLebanon</t>
        </is>
      </c>
      <c r="D52" s="9" t="inlineStr">
        <is>
          <t>BeastofLebanon</t>
        </is>
      </c>
      <c r="E52" s="9" t="inlineStr">
        <is>
          <t>Exact name match (Pass 1) via canonical</t>
        </is>
      </c>
      <c r="F52" s="10" t="n">
        <v>202162525</v>
      </c>
      <c r="G52" s="10" t="n">
        <v>3533918182</v>
      </c>
      <c r="H52" s="10" t="n">
        <v>1531200</v>
      </c>
      <c r="I52" s="10" t="n">
        <v>194692398</v>
      </c>
      <c r="J52" s="10" t="n">
        <v>3890737431</v>
      </c>
      <c r="K52" s="10" t="n">
        <v>45000</v>
      </c>
      <c r="L52" s="11">
        <f>I52-F52</f>
        <v/>
      </c>
      <c r="M52" s="12">
        <f>IFERROR((I52-F52)/F52,"")</f>
        <v/>
      </c>
      <c r="N52" s="13">
        <f>J52-G52</f>
        <v/>
      </c>
      <c r="O52" s="14">
        <f>IFERROR((J52-G52)/G52,"")</f>
        <v/>
      </c>
      <c r="P52" s="11">
        <f>K52-H52</f>
        <v/>
      </c>
    </row>
    <row r="53">
      <c r="A53" s="2" t="n">
        <v>49</v>
      </c>
      <c r="B53" s="2" t="inlineStr">
        <is>
          <t>R350-0089</t>
        </is>
      </c>
      <c r="C53" s="2" t="inlineStr">
        <is>
          <t>KOLOBOKK</t>
        </is>
      </c>
      <c r="D53" s="2" t="inlineStr">
        <is>
          <t>KOLOBOKK</t>
        </is>
      </c>
      <c r="E53" s="2" t="inlineStr">
        <is>
          <t>Exact name match (Pass 1) via canonical</t>
        </is>
      </c>
      <c r="F53" s="4" t="n">
        <v>201859776</v>
      </c>
      <c r="G53" s="4" t="n">
        <v>2109980176</v>
      </c>
      <c r="H53" s="4" t="n">
        <v>9941903</v>
      </c>
      <c r="I53" s="4" t="n">
        <v>195060700</v>
      </c>
      <c r="J53" s="4" t="n">
        <v>2208036867</v>
      </c>
      <c r="K53" s="4" t="n">
        <v>10668303</v>
      </c>
      <c r="L53" s="5">
        <f>I53-F53</f>
        <v/>
      </c>
      <c r="M53" s="6">
        <f>IFERROR((I53-F53)/F53,"")</f>
        <v/>
      </c>
      <c r="N53" s="7">
        <f>J53-G53</f>
        <v/>
      </c>
      <c r="O53" s="8">
        <f>IFERROR((J53-G53)/G53,"")</f>
        <v/>
      </c>
      <c r="P53" s="7">
        <f>K53-H53</f>
        <v/>
      </c>
    </row>
    <row r="54">
      <c r="A54" s="9" t="n">
        <v>50</v>
      </c>
      <c r="B54" s="9" t="inlineStr">
        <is>
          <t>R350-0062</t>
        </is>
      </c>
      <c r="C54" s="9" t="inlineStr">
        <is>
          <t>K25</t>
        </is>
      </c>
      <c r="D54" s="9" t="inlineStr">
        <is>
          <t>K25</t>
        </is>
      </c>
      <c r="E54" s="9" t="inlineStr">
        <is>
          <t>Exact name match (Pass 1) via canonical</t>
        </is>
      </c>
      <c r="F54" s="10" t="n">
        <v>201794399</v>
      </c>
      <c r="G54" s="10" t="n">
        <v>2351539606</v>
      </c>
      <c r="H54" s="10" t="n">
        <v>5179500</v>
      </c>
      <c r="I54" s="10" t="n">
        <v>201258344</v>
      </c>
      <c r="J54" s="10" t="n">
        <v>2358585971</v>
      </c>
      <c r="K54" s="10" t="n">
        <v>2200</v>
      </c>
      <c r="L54" s="11">
        <f>I54-F54</f>
        <v/>
      </c>
      <c r="M54" s="12">
        <f>IFERROR((I54-F54)/F54,"")</f>
        <v/>
      </c>
      <c r="N54" s="13">
        <f>J54-G54</f>
        <v/>
      </c>
      <c r="O54" s="14">
        <f>IFERROR((J54-G54)/G54,"")</f>
        <v/>
      </c>
      <c r="P54" s="11">
        <f>K54-H54</f>
        <v/>
      </c>
    </row>
    <row r="55">
      <c r="A55" s="17" t="n">
        <v>51</v>
      </c>
      <c r="B55" s="17" t="inlineStr">
        <is>
          <t>R350-0276</t>
        </is>
      </c>
      <c r="C55" s="17" t="inlineStr">
        <is>
          <t>contactmeboys</t>
        </is>
      </c>
      <c r="D55" s="17" t="inlineStr">
        <is>
          <t>SosiPisoS</t>
        </is>
      </c>
      <c r="E55" s="17" t="inlineStr">
        <is>
          <t>CONFIRMED per Chow (31/10): same person, keep ID. renamed (Pass 2): dPower +2.08%, dKP +1.2181%, name similarity 0.27, competitors 1, neighbourhood_size 151; UNIQUENESS: FAILED</t>
        </is>
      </c>
      <c r="F55" s="18" t="n">
        <v>197370321</v>
      </c>
      <c r="G55" s="18" t="n">
        <v>6386151064</v>
      </c>
      <c r="H55" s="18" t="n">
        <v>5828806</v>
      </c>
      <c r="I55" s="18" t="n">
        <v>201566164</v>
      </c>
      <c r="J55" s="18" t="n">
        <v>6463943202</v>
      </c>
      <c r="K55" s="18" t="n">
        <v>6687106</v>
      </c>
      <c r="L55" s="19">
        <f>I55-F55</f>
        <v/>
      </c>
      <c r="M55" s="20">
        <f>IFERROR((I55-F55)/F55,"")</f>
        <v/>
      </c>
      <c r="N55" s="19">
        <f>J55-G55</f>
        <v/>
      </c>
      <c r="O55" s="21">
        <f>IFERROR((J55-G55)/G55,"")</f>
        <v/>
      </c>
      <c r="P55" s="19">
        <f>K55-H55</f>
        <v/>
      </c>
    </row>
    <row r="56">
      <c r="A56" s="9" t="n">
        <v>52</v>
      </c>
      <c r="B56" s="9" t="inlineStr">
        <is>
          <t>R350-0100</t>
        </is>
      </c>
      <c r="C56" s="9" t="inlineStr">
        <is>
          <t>Cokon 1000</t>
        </is>
      </c>
      <c r="D56" s="9" t="inlineStr">
        <is>
          <t>Cokon 1000</t>
        </is>
      </c>
      <c r="E56" s="9" t="inlineStr">
        <is>
          <t>Exact name match (Pass 1) via canonical</t>
        </is>
      </c>
      <c r="F56" s="10" t="n">
        <v>200203256</v>
      </c>
      <c r="G56" s="10" t="n">
        <v>1993834575</v>
      </c>
      <c r="H56" s="10" t="n">
        <v>5164819</v>
      </c>
      <c r="I56" s="10" t="n">
        <v>185807724</v>
      </c>
      <c r="J56" s="10" t="n">
        <v>2155916063</v>
      </c>
      <c r="K56" s="10" t="n">
        <v>0</v>
      </c>
      <c r="L56" s="11">
        <f>I56-F56</f>
        <v/>
      </c>
      <c r="M56" s="12">
        <f>IFERROR((I56-F56)/F56,"")</f>
        <v/>
      </c>
      <c r="N56" s="13">
        <f>J56-G56</f>
        <v/>
      </c>
      <c r="O56" s="14">
        <f>IFERROR((J56-G56)/G56,"")</f>
        <v/>
      </c>
      <c r="P56" s="11">
        <f>K56-H56</f>
        <v/>
      </c>
    </row>
    <row r="57">
      <c r="A57" s="2" t="n">
        <v>53</v>
      </c>
      <c r="B57" s="2" t="inlineStr">
        <is>
          <t>R350-0039</t>
        </is>
      </c>
      <c r="C57" s="2" t="inlineStr">
        <is>
          <t>Tieu Tam Sinh</t>
        </is>
      </c>
      <c r="D57" s="2" t="inlineStr">
        <is>
          <t>Tieu Tam Sinh</t>
        </is>
      </c>
      <c r="E57" s="2" t="inlineStr">
        <is>
          <t>Exact name match (Pass 1) via canonical</t>
        </is>
      </c>
      <c r="F57" s="4" t="n">
        <v>199820409</v>
      </c>
      <c r="G57" s="4" t="n">
        <v>7401003724</v>
      </c>
      <c r="H57" s="4" t="n">
        <v>5583804</v>
      </c>
      <c r="I57" s="4" t="n">
        <v>194669866</v>
      </c>
      <c r="J57" s="4" t="n">
        <v>7530783369</v>
      </c>
      <c r="K57" s="4" t="n">
        <v>6318204</v>
      </c>
      <c r="L57" s="5">
        <f>I57-F57</f>
        <v/>
      </c>
      <c r="M57" s="6">
        <f>IFERROR((I57-F57)/F57,"")</f>
        <v/>
      </c>
      <c r="N57" s="7">
        <f>J57-G57</f>
        <v/>
      </c>
      <c r="O57" s="8">
        <f>IFERROR((J57-G57)/G57,"")</f>
        <v/>
      </c>
      <c r="P57" s="7">
        <f>K57-H57</f>
        <v/>
      </c>
    </row>
    <row r="58">
      <c r="A58" s="9" t="n">
        <v>54</v>
      </c>
      <c r="B58" s="9" t="inlineStr">
        <is>
          <t>R350-0041</t>
        </is>
      </c>
      <c r="C58" s="9" t="inlineStr">
        <is>
          <t>Элвис33</t>
        </is>
      </c>
      <c r="D58" s="9" t="inlineStr">
        <is>
          <t>Элвис33</t>
        </is>
      </c>
      <c r="E58" s="9" t="inlineStr">
        <is>
          <t>Exact name match (Pass 1) via canonical</t>
        </is>
      </c>
      <c r="F58" s="10" t="n">
        <v>197980346</v>
      </c>
      <c r="G58" s="10" t="n">
        <v>4339291666</v>
      </c>
      <c r="H58" s="10" t="n">
        <v>28017479</v>
      </c>
      <c r="I58" s="10" t="n">
        <v>196106994</v>
      </c>
      <c r="J58" s="10" t="n">
        <v>4496703220</v>
      </c>
      <c r="K58" s="10" t="n">
        <v>463500</v>
      </c>
      <c r="L58" s="11">
        <f>I58-F58</f>
        <v/>
      </c>
      <c r="M58" s="12">
        <f>IFERROR((I58-F58)/F58,"")</f>
        <v/>
      </c>
      <c r="N58" s="13">
        <f>J58-G58</f>
        <v/>
      </c>
      <c r="O58" s="14">
        <f>IFERROR((J58-G58)/G58,"")</f>
        <v/>
      </c>
      <c r="P58" s="11">
        <f>K58-H58</f>
        <v/>
      </c>
    </row>
    <row r="59">
      <c r="A59" s="2" t="n">
        <v>55</v>
      </c>
      <c r="B59" s="2" t="inlineStr">
        <is>
          <t>R350-0045</t>
        </is>
      </c>
      <c r="C59" s="2" t="inlineStr">
        <is>
          <t>DoraB</t>
        </is>
      </c>
      <c r="D59" s="2" t="inlineStr">
        <is>
          <t>DoraB</t>
        </is>
      </c>
      <c r="E59" s="2" t="inlineStr">
        <is>
          <t>Exact name match (Pass 1) via canonical</t>
        </is>
      </c>
      <c r="F59" s="4" t="n">
        <v>197649811</v>
      </c>
      <c r="G59" s="4" t="n">
        <v>4308868164</v>
      </c>
      <c r="H59" s="4" t="n">
        <v>34495935</v>
      </c>
      <c r="I59" s="4" t="n">
        <v>196977687</v>
      </c>
      <c r="J59" s="4" t="n">
        <v>4376896167</v>
      </c>
      <c r="K59" s="4" t="n">
        <v>35042935</v>
      </c>
      <c r="L59" s="5">
        <f>I59-F59</f>
        <v/>
      </c>
      <c r="M59" s="6">
        <f>IFERROR((I59-F59)/F59,"")</f>
        <v/>
      </c>
      <c r="N59" s="7">
        <f>J59-G59</f>
        <v/>
      </c>
      <c r="O59" s="8">
        <f>IFERROR((J59-G59)/G59,"")</f>
        <v/>
      </c>
      <c r="P59" s="7">
        <f>K59-H59</f>
        <v/>
      </c>
    </row>
    <row r="60">
      <c r="A60" s="9" t="n">
        <v>56</v>
      </c>
      <c r="B60" s="9" t="inlineStr">
        <is>
          <t>R350-0042</t>
        </is>
      </c>
      <c r="C60" s="9" t="inlineStr">
        <is>
          <t>Axe Ex Mashina</t>
        </is>
      </c>
      <c r="D60" s="9" t="inlineStr">
        <is>
          <t>Axe Ex Mashina</t>
        </is>
      </c>
      <c r="E60" s="9" t="inlineStr">
        <is>
          <t>Exact name match (Pass 1) via canonical</t>
        </is>
      </c>
      <c r="F60" s="10" t="n">
        <v>196419374</v>
      </c>
      <c r="G60" s="10" t="n">
        <v>8680793951</v>
      </c>
      <c r="H60" s="10" t="n">
        <v>14785235</v>
      </c>
      <c r="I60" s="10" t="n">
        <v>196361903</v>
      </c>
      <c r="J60" s="10" t="n">
        <v>9231873276</v>
      </c>
      <c r="K60" s="10" t="n">
        <v>15574945</v>
      </c>
      <c r="L60" s="11">
        <f>I60-F60</f>
        <v/>
      </c>
      <c r="M60" s="12">
        <f>IFERROR((I60-F60)/F60,"")</f>
        <v/>
      </c>
      <c r="N60" s="13">
        <f>J60-G60</f>
        <v/>
      </c>
      <c r="O60" s="14">
        <f>IFERROR((J60-G60)/G60,"")</f>
        <v/>
      </c>
      <c r="P60" s="13">
        <f>K60-H60</f>
        <v/>
      </c>
    </row>
    <row r="61">
      <c r="A61" s="2" t="n">
        <v>57</v>
      </c>
      <c r="B61" s="2" t="inlineStr">
        <is>
          <t>R350-0072</t>
        </is>
      </c>
      <c r="C61" s="2" t="inlineStr">
        <is>
          <t>Tora</t>
        </is>
      </c>
      <c r="D61" s="2" t="inlineStr">
        <is>
          <t>Tora</t>
        </is>
      </c>
      <c r="E61" s="2" t="inlineStr">
        <is>
          <t>Exact name match (Pass 1) via canonical</t>
        </is>
      </c>
      <c r="F61" s="4" t="n">
        <v>193918833</v>
      </c>
      <c r="G61" s="4" t="n">
        <v>2298845609</v>
      </c>
      <c r="H61" s="4" t="n">
        <v>19247503</v>
      </c>
      <c r="I61" s="4" t="n">
        <v>193429952</v>
      </c>
      <c r="J61" s="4" t="n">
        <v>2314788247</v>
      </c>
      <c r="K61" s="4" t="n">
        <v>19716795</v>
      </c>
      <c r="L61" s="5">
        <f>I61-F61</f>
        <v/>
      </c>
      <c r="M61" s="6">
        <f>IFERROR((I61-F61)/F61,"")</f>
        <v/>
      </c>
      <c r="N61" s="7">
        <f>J61-G61</f>
        <v/>
      </c>
      <c r="O61" s="8">
        <f>IFERROR((J61-G61)/G61,"")</f>
        <v/>
      </c>
      <c r="P61" s="7">
        <f>K61-H61</f>
        <v/>
      </c>
    </row>
    <row r="62">
      <c r="A62" s="9" t="n">
        <v>58</v>
      </c>
      <c r="B62" s="9" t="inlineStr">
        <is>
          <t>R350-0049</t>
        </is>
      </c>
      <c r="C62" s="9" t="inlineStr">
        <is>
          <t>v Roki v</t>
        </is>
      </c>
      <c r="D62" s="9" t="inlineStr">
        <is>
          <t>v Roki v</t>
        </is>
      </c>
      <c r="E62" s="9" t="inlineStr">
        <is>
          <t>Exact name match (Pass 1) via canonical</t>
        </is>
      </c>
      <c r="F62" s="10" t="n">
        <v>193505896</v>
      </c>
      <c r="G62" s="10" t="n">
        <v>4162034009</v>
      </c>
      <c r="H62" s="10" t="n">
        <v>5745202</v>
      </c>
      <c r="I62" s="10" t="n">
        <v>192947287</v>
      </c>
      <c r="J62" s="10" t="n">
        <v>4321781761</v>
      </c>
      <c r="K62" s="10" t="n">
        <v>3000</v>
      </c>
      <c r="L62" s="11">
        <f>I62-F62</f>
        <v/>
      </c>
      <c r="M62" s="12">
        <f>IFERROR((I62-F62)/F62,"")</f>
        <v/>
      </c>
      <c r="N62" s="13">
        <f>J62-G62</f>
        <v/>
      </c>
      <c r="O62" s="14">
        <f>IFERROR((J62-G62)/G62,"")</f>
        <v/>
      </c>
      <c r="P62" s="11">
        <f>K62-H62</f>
        <v/>
      </c>
    </row>
    <row r="63">
      <c r="A63" s="2" t="n">
        <v>59</v>
      </c>
      <c r="B63" s="2" t="inlineStr">
        <is>
          <t>R350-0097</t>
        </is>
      </c>
      <c r="C63" s="2" t="inlineStr">
        <is>
          <t>Mintael</t>
        </is>
      </c>
      <c r="D63" s="2" t="inlineStr">
        <is>
          <t>Mintael</t>
        </is>
      </c>
      <c r="E63" s="2" t="inlineStr">
        <is>
          <t>Exact name match (Pass 1) via canonical</t>
        </is>
      </c>
      <c r="F63" s="4" t="n">
        <v>191775901</v>
      </c>
      <c r="G63" s="4" t="n">
        <v>885564378</v>
      </c>
      <c r="H63" s="4" t="n">
        <v>59655395</v>
      </c>
      <c r="I63" s="4" t="n">
        <v>184623582</v>
      </c>
      <c r="J63" s="4" t="n">
        <v>925237349</v>
      </c>
      <c r="K63" s="4" t="n">
        <v>116600</v>
      </c>
      <c r="L63" s="5">
        <f>I63-F63</f>
        <v/>
      </c>
      <c r="M63" s="6">
        <f>IFERROR((I63-F63)/F63,"")</f>
        <v/>
      </c>
      <c r="N63" s="7">
        <f>J63-G63</f>
        <v/>
      </c>
      <c r="O63" s="8">
        <f>IFERROR((J63-G63)/G63,"")</f>
        <v/>
      </c>
      <c r="P63" s="5">
        <f>K63-H63</f>
        <v/>
      </c>
    </row>
    <row r="64">
      <c r="A64" s="9" t="n">
        <v>60</v>
      </c>
      <c r="B64" s="9" t="inlineStr">
        <is>
          <t>R350-0101</t>
        </is>
      </c>
      <c r="C64" s="9" t="inlineStr">
        <is>
          <t>Vietgangz</t>
        </is>
      </c>
      <c r="D64" s="9" t="inlineStr">
        <is>
          <t>Vietgangz</t>
        </is>
      </c>
      <c r="E64" s="9" t="inlineStr">
        <is>
          <t>Exact name match (Pass 1) via canonical</t>
        </is>
      </c>
      <c r="F64" s="10" t="n">
        <v>191526693</v>
      </c>
      <c r="G64" s="10" t="n">
        <v>2317600447</v>
      </c>
      <c r="H64" s="10" t="n">
        <v>1433348</v>
      </c>
      <c r="I64" s="10" t="n">
        <v>188167802</v>
      </c>
      <c r="J64" s="10" t="n">
        <v>2448397930</v>
      </c>
      <c r="K64" s="10" t="n">
        <v>2034948</v>
      </c>
      <c r="L64" s="11">
        <f>I64-F64</f>
        <v/>
      </c>
      <c r="M64" s="12">
        <f>IFERROR((I64-F64)/F64,"")</f>
        <v/>
      </c>
      <c r="N64" s="13">
        <f>J64-G64</f>
        <v/>
      </c>
      <c r="O64" s="14">
        <f>IFERROR((J64-G64)/G64,"")</f>
        <v/>
      </c>
      <c r="P64" s="13">
        <f>K64-H64</f>
        <v/>
      </c>
    </row>
    <row r="65">
      <c r="A65" s="2" t="n">
        <v>61</v>
      </c>
      <c r="B65" s="2" t="inlineStr">
        <is>
          <t>R350-0035</t>
        </is>
      </c>
      <c r="C65" s="2" t="inlineStr">
        <is>
          <t>FLAMES</t>
        </is>
      </c>
      <c r="D65" s="2" t="inlineStr">
        <is>
          <t>FLAMES</t>
        </is>
      </c>
      <c r="E65" s="2" t="inlineStr">
        <is>
          <t>Exact name match (Pass 1) via canonical</t>
        </is>
      </c>
      <c r="F65" s="4" t="n">
        <v>191279406</v>
      </c>
      <c r="G65" s="4" t="n">
        <v>2594352017</v>
      </c>
      <c r="H65" s="4" t="n">
        <v>5070700</v>
      </c>
      <c r="I65" s="4" t="n">
        <v>183635829</v>
      </c>
      <c r="J65" s="4" t="n">
        <v>2606253357</v>
      </c>
      <c r="K65" s="4" t="n">
        <v>0</v>
      </c>
      <c r="L65" s="5">
        <f>I65-F65</f>
        <v/>
      </c>
      <c r="M65" s="6">
        <f>IFERROR((I65-F65)/F65,"")</f>
        <v/>
      </c>
      <c r="N65" s="7">
        <f>J65-G65</f>
        <v/>
      </c>
      <c r="O65" s="8">
        <f>IFERROR((J65-G65)/G65,"")</f>
        <v/>
      </c>
      <c r="P65" s="5">
        <f>K65-H65</f>
        <v/>
      </c>
    </row>
    <row r="66">
      <c r="A66" s="9" t="n">
        <v>62</v>
      </c>
      <c r="B66" s="9" t="inlineStr">
        <is>
          <t>R350-0050</t>
        </is>
      </c>
      <c r="C66" s="9" t="inlineStr">
        <is>
          <t>Turbonik</t>
        </is>
      </c>
      <c r="D66" s="9" t="inlineStr">
        <is>
          <t>Turbonik</t>
        </is>
      </c>
      <c r="E66" s="9" t="inlineStr">
        <is>
          <t>Exact name match (Pass 1) via canonical</t>
        </is>
      </c>
      <c r="F66" s="10" t="n">
        <v>189311381</v>
      </c>
      <c r="G66" s="10" t="n">
        <v>3463211063</v>
      </c>
      <c r="H66" s="10" t="n">
        <v>1585265</v>
      </c>
      <c r="I66" s="10" t="n">
        <v>191243904</v>
      </c>
      <c r="J66" s="10" t="n">
        <v>3535900490</v>
      </c>
      <c r="K66" s="10" t="n">
        <v>78900</v>
      </c>
      <c r="L66" s="13">
        <f>I66-F66</f>
        <v/>
      </c>
      <c r="M66" s="16">
        <f>IFERROR((I66-F66)/F66,"")</f>
        <v/>
      </c>
      <c r="N66" s="13">
        <f>J66-G66</f>
        <v/>
      </c>
      <c r="O66" s="14">
        <f>IFERROR((J66-G66)/G66,"")</f>
        <v/>
      </c>
      <c r="P66" s="11">
        <f>K66-H66</f>
        <v/>
      </c>
    </row>
    <row r="67">
      <c r="A67" s="2" t="n">
        <v>63</v>
      </c>
      <c r="B67" s="2" t="inlineStr">
        <is>
          <t>R350-0047</t>
        </is>
      </c>
      <c r="C67" s="2" t="inlineStr">
        <is>
          <t>TOM DU</t>
        </is>
      </c>
      <c r="D67" s="2" t="inlineStr">
        <is>
          <t>TOM DU</t>
        </is>
      </c>
      <c r="E67" s="2" t="inlineStr">
        <is>
          <t>Exact name match (Pass 1) via canonical</t>
        </is>
      </c>
      <c r="F67" s="4" t="n">
        <v>189219486</v>
      </c>
      <c r="G67" s="4" t="n">
        <v>5067019138</v>
      </c>
      <c r="H67" s="4" t="n">
        <v>24187304</v>
      </c>
      <c r="I67" s="4" t="n">
        <v>182385787</v>
      </c>
      <c r="J67" s="4" t="n">
        <v>5280869047</v>
      </c>
      <c r="K67" s="4" t="n">
        <v>24941504</v>
      </c>
      <c r="L67" s="5">
        <f>I67-F67</f>
        <v/>
      </c>
      <c r="M67" s="6">
        <f>IFERROR((I67-F67)/F67,"")</f>
        <v/>
      </c>
      <c r="N67" s="7">
        <f>J67-G67</f>
        <v/>
      </c>
      <c r="O67" s="8">
        <f>IFERROR((J67-G67)/G67,"")</f>
        <v/>
      </c>
      <c r="P67" s="7">
        <f>K67-H67</f>
        <v/>
      </c>
    </row>
    <row r="68">
      <c r="A68" s="9" t="n">
        <v>64</v>
      </c>
      <c r="B68" s="9" t="inlineStr">
        <is>
          <t>R350-0061</t>
        </is>
      </c>
      <c r="C68" s="9" t="inlineStr">
        <is>
          <t>FalconN</t>
        </is>
      </c>
      <c r="D68" s="9" t="inlineStr">
        <is>
          <t>FalconN</t>
        </is>
      </c>
      <c r="E68" s="9" t="inlineStr">
        <is>
          <t>Exact name match (Pass 1) via canonical</t>
        </is>
      </c>
      <c r="F68" s="10" t="n">
        <v>186145839</v>
      </c>
      <c r="G68" s="10" t="n">
        <v>2614885612</v>
      </c>
      <c r="H68" s="10" t="n">
        <v>931972</v>
      </c>
      <c r="I68" s="10" t="n">
        <v>188689601</v>
      </c>
      <c r="J68" s="10" t="n">
        <v>2668997043</v>
      </c>
      <c r="K68" s="10" t="n">
        <v>1582673</v>
      </c>
      <c r="L68" s="13">
        <f>I68-F68</f>
        <v/>
      </c>
      <c r="M68" s="16">
        <f>IFERROR((I68-F68)/F68,"")</f>
        <v/>
      </c>
      <c r="N68" s="13">
        <f>J68-G68</f>
        <v/>
      </c>
      <c r="O68" s="14">
        <f>IFERROR((J68-G68)/G68,"")</f>
        <v/>
      </c>
      <c r="P68" s="13">
        <f>K68-H68</f>
        <v/>
      </c>
    </row>
    <row r="69">
      <c r="A69" s="2" t="n">
        <v>65</v>
      </c>
      <c r="B69" s="2" t="inlineStr">
        <is>
          <t>R350-0075</t>
        </is>
      </c>
      <c r="C69" s="2" t="inlineStr">
        <is>
          <t>Catler</t>
        </is>
      </c>
      <c r="D69" s="2" t="inlineStr">
        <is>
          <t>Catler</t>
        </is>
      </c>
      <c r="E69" s="2" t="inlineStr">
        <is>
          <t>Exact name match (Pass 1) via canonical</t>
        </is>
      </c>
      <c r="F69" s="4" t="n">
        <v>188082333</v>
      </c>
      <c r="G69" s="4" t="n">
        <v>2703346291</v>
      </c>
      <c r="H69" s="4" t="n">
        <v>140400</v>
      </c>
      <c r="I69" s="4" t="n">
        <v>181817799</v>
      </c>
      <c r="J69" s="4" t="n">
        <v>2897171187</v>
      </c>
      <c r="K69" s="4" t="n">
        <v>420914</v>
      </c>
      <c r="L69" s="5">
        <f>I69-F69</f>
        <v/>
      </c>
      <c r="M69" s="6">
        <f>IFERROR((I69-F69)/F69,"")</f>
        <v/>
      </c>
      <c r="N69" s="7">
        <f>J69-G69</f>
        <v/>
      </c>
      <c r="O69" s="8">
        <f>IFERROR((J69-G69)/G69,"")</f>
        <v/>
      </c>
      <c r="P69" s="7">
        <f>K69-H69</f>
        <v/>
      </c>
    </row>
    <row r="70">
      <c r="A70" s="9" t="n">
        <v>66</v>
      </c>
      <c r="B70" s="9" t="inlineStr">
        <is>
          <t>R350-0029</t>
        </is>
      </c>
      <c r="C70" s="9" t="inlineStr">
        <is>
          <t>GoJoeGo</t>
        </is>
      </c>
      <c r="D70" s="9" t="inlineStr">
        <is>
          <t>GoJoeGo</t>
        </is>
      </c>
      <c r="E70" s="9" t="inlineStr">
        <is>
          <t>Exact name match (Pass 1) via canonical</t>
        </is>
      </c>
      <c r="F70" s="10" t="n">
        <v>176835195</v>
      </c>
      <c r="G70" s="10" t="n">
        <v>8594135106</v>
      </c>
      <c r="H70" s="10" t="n">
        <v>511500</v>
      </c>
      <c r="I70" s="10" t="n">
        <v>187867482</v>
      </c>
      <c r="J70" s="10" t="n">
        <v>9305194453</v>
      </c>
      <c r="K70" s="10" t="n">
        <v>350700</v>
      </c>
      <c r="L70" s="13">
        <f>I70-F70</f>
        <v/>
      </c>
      <c r="M70" s="16">
        <f>IFERROR((I70-F70)/F70,"")</f>
        <v/>
      </c>
      <c r="N70" s="13">
        <f>J70-G70</f>
        <v/>
      </c>
      <c r="O70" s="14">
        <f>IFERROR((J70-G70)/G70,"")</f>
        <v/>
      </c>
      <c r="P70" s="11">
        <f>K70-H70</f>
        <v/>
      </c>
    </row>
    <row r="71">
      <c r="A71" s="2" t="n">
        <v>67</v>
      </c>
      <c r="B71" s="2" t="inlineStr">
        <is>
          <t>R350-0078</t>
        </is>
      </c>
      <c r="C71" s="2" t="inlineStr">
        <is>
          <t>A R</t>
        </is>
      </c>
      <c r="D71" s="2" t="inlineStr">
        <is>
          <t>A R</t>
        </is>
      </c>
      <c r="E71" s="2" t="inlineStr">
        <is>
          <t>Exact name match (Pass 1) via canonical</t>
        </is>
      </c>
      <c r="F71" s="4" t="n">
        <v>185497657</v>
      </c>
      <c r="G71" s="4" t="n">
        <v>3317896295</v>
      </c>
      <c r="H71" s="4" t="n">
        <v>34578446</v>
      </c>
      <c r="I71" s="4" t="n">
        <v>187718457</v>
      </c>
      <c r="J71" s="4" t="n">
        <v>3537653952</v>
      </c>
      <c r="K71" s="4" t="n">
        <v>35491639</v>
      </c>
      <c r="L71" s="7">
        <f>I71-F71</f>
        <v/>
      </c>
      <c r="M71" s="15">
        <f>IFERROR((I71-F71)/F71,"")</f>
        <v/>
      </c>
      <c r="N71" s="7">
        <f>J71-G71</f>
        <v/>
      </c>
      <c r="O71" s="8">
        <f>IFERROR((J71-G71)/G71,"")</f>
        <v/>
      </c>
      <c r="P71" s="7">
        <f>K71-H71</f>
        <v/>
      </c>
    </row>
    <row r="72">
      <c r="A72" s="9" t="n">
        <v>68</v>
      </c>
      <c r="B72" s="9" t="inlineStr">
        <is>
          <t>R350-0038</t>
        </is>
      </c>
      <c r="C72" s="9" t="inlineStr">
        <is>
          <t>SozYazarTpYapar</t>
        </is>
      </c>
      <c r="D72" s="9" t="inlineStr">
        <is>
          <t>SozYazarTpYapar</t>
        </is>
      </c>
      <c r="E72" s="9" t="inlineStr">
        <is>
          <t>Exact name match (Pass 1) via canonical</t>
        </is>
      </c>
      <c r="F72" s="10" t="n">
        <v>180560342</v>
      </c>
      <c r="G72" s="10" t="n">
        <v>12399936959</v>
      </c>
      <c r="H72" s="10" t="n">
        <v>13768277</v>
      </c>
      <c r="I72" s="10" t="n">
        <v>187063231</v>
      </c>
      <c r="J72" s="10" t="n">
        <v>12805316705</v>
      </c>
      <c r="K72" s="10" t="n">
        <v>367600</v>
      </c>
      <c r="L72" s="13">
        <f>I72-F72</f>
        <v/>
      </c>
      <c r="M72" s="16">
        <f>IFERROR((I72-F72)/F72,"")</f>
        <v/>
      </c>
      <c r="N72" s="13">
        <f>J72-G72</f>
        <v/>
      </c>
      <c r="O72" s="14">
        <f>IFERROR((J72-G72)/G72,"")</f>
        <v/>
      </c>
      <c r="P72" s="11">
        <f>K72-H72</f>
        <v/>
      </c>
    </row>
    <row r="73">
      <c r="A73" s="2" t="n">
        <v>69</v>
      </c>
      <c r="B73" s="2" t="inlineStr">
        <is>
          <t>R350-0098</t>
        </is>
      </c>
      <c r="C73" s="2" t="inlineStr">
        <is>
          <t>brayan</t>
        </is>
      </c>
      <c r="D73" s="2" t="inlineStr">
        <is>
          <t>brayan</t>
        </is>
      </c>
      <c r="E73" s="2" t="inlineStr">
        <is>
          <t>Exact name match (Pass 1) via alias screen name "brayan"</t>
        </is>
      </c>
      <c r="F73" s="4" t="n">
        <v>184617848</v>
      </c>
      <c r="G73" s="4" t="n">
        <v>1318621887</v>
      </c>
      <c r="H73" s="4" t="n">
        <v>109070032</v>
      </c>
      <c r="I73" s="4" t="n">
        <v>186200128</v>
      </c>
      <c r="J73" s="4" t="n">
        <v>1359747399</v>
      </c>
      <c r="K73" s="4" t="n">
        <v>109521411</v>
      </c>
      <c r="L73" s="7">
        <f>I73-F73</f>
        <v/>
      </c>
      <c r="M73" s="15">
        <f>IFERROR((I73-F73)/F73,"")</f>
        <v/>
      </c>
      <c r="N73" s="7">
        <f>J73-G73</f>
        <v/>
      </c>
      <c r="O73" s="8">
        <f>IFERROR((J73-G73)/G73,"")</f>
        <v/>
      </c>
      <c r="P73" s="7">
        <f>K73-H73</f>
        <v/>
      </c>
    </row>
    <row r="74">
      <c r="A74" s="9" t="n">
        <v>70</v>
      </c>
      <c r="B74" s="9" t="inlineStr">
        <is>
          <t>R350-0257</t>
        </is>
      </c>
      <c r="C74" s="9" t="inlineStr">
        <is>
          <t>SWS70</t>
        </is>
      </c>
      <c r="D74" s="9" t="inlineStr">
        <is>
          <t>SWS70</t>
        </is>
      </c>
      <c r="E74" s="9" t="inlineStr">
        <is>
          <t>Exact name match (Pass 1) via canonical</t>
        </is>
      </c>
      <c r="F74" s="10" t="n">
        <v>186174358</v>
      </c>
      <c r="G74" s="10" t="n">
        <v>3527447256</v>
      </c>
      <c r="H74" s="10" t="n">
        <v>7941777</v>
      </c>
      <c r="I74" s="10" t="n">
        <v>178059309</v>
      </c>
      <c r="J74" s="10" t="n">
        <v>3666451647</v>
      </c>
      <c r="K74" s="10" t="n">
        <v>8729163</v>
      </c>
      <c r="L74" s="11">
        <f>I74-F74</f>
        <v/>
      </c>
      <c r="M74" s="12">
        <f>IFERROR((I74-F74)/F74,"")</f>
        <v/>
      </c>
      <c r="N74" s="13">
        <f>J74-G74</f>
        <v/>
      </c>
      <c r="O74" s="14">
        <f>IFERROR((J74-G74)/G74,"")</f>
        <v/>
      </c>
      <c r="P74" s="13">
        <f>K74-H74</f>
        <v/>
      </c>
    </row>
    <row r="75">
      <c r="A75" s="2" t="n">
        <v>71</v>
      </c>
      <c r="B75" s="2" t="inlineStr">
        <is>
          <t>R350-0070</t>
        </is>
      </c>
      <c r="C75" s="2" t="inlineStr">
        <is>
          <t>Lord of Dragon</t>
        </is>
      </c>
      <c r="D75" s="2" t="inlineStr">
        <is>
          <t>Lord of Dragon</t>
        </is>
      </c>
      <c r="E75" s="2" t="inlineStr">
        <is>
          <t>Exact name match (Pass 1) via canonical</t>
        </is>
      </c>
      <c r="F75" s="4" t="n">
        <v>185823997</v>
      </c>
      <c r="G75" s="4" t="n">
        <v>4717307532</v>
      </c>
      <c r="H75" s="4" t="n">
        <v>18368554</v>
      </c>
      <c r="I75" s="4" t="n">
        <v>183454824</v>
      </c>
      <c r="J75" s="4" t="n">
        <v>4981923053</v>
      </c>
      <c r="K75" s="4" t="n">
        <v>487700</v>
      </c>
      <c r="L75" s="5">
        <f>I75-F75</f>
        <v/>
      </c>
      <c r="M75" s="6">
        <f>IFERROR((I75-F75)/F75,"")</f>
        <v/>
      </c>
      <c r="N75" s="7">
        <f>J75-G75</f>
        <v/>
      </c>
      <c r="O75" s="8">
        <f>IFERROR((J75-G75)/G75,"")</f>
        <v/>
      </c>
      <c r="P75" s="5">
        <f>K75-H75</f>
        <v/>
      </c>
    </row>
    <row r="76">
      <c r="A76" s="9" t="n">
        <v>72</v>
      </c>
      <c r="B76" s="9" t="inlineStr">
        <is>
          <t>R350-0209</t>
        </is>
      </c>
      <c r="C76" s="9" t="inlineStr">
        <is>
          <t>AHT</t>
        </is>
      </c>
      <c r="D76" s="9" t="inlineStr">
        <is>
          <t>AHT</t>
        </is>
      </c>
      <c r="E76" s="9" t="inlineStr">
        <is>
          <t>Exact name match (Pass 1) via canonical</t>
        </is>
      </c>
      <c r="F76" s="10" t="n">
        <v>179643983</v>
      </c>
      <c r="G76" s="10" t="n">
        <v>2377710107</v>
      </c>
      <c r="H76" s="10" t="n">
        <v>799700</v>
      </c>
      <c r="I76" s="10" t="n">
        <v>185583027</v>
      </c>
      <c r="J76" s="10" t="n">
        <v>2513898497</v>
      </c>
      <c r="K76" s="10" t="n">
        <v>396700</v>
      </c>
      <c r="L76" s="13">
        <f>I76-F76</f>
        <v/>
      </c>
      <c r="M76" s="16">
        <f>IFERROR((I76-F76)/F76,"")</f>
        <v/>
      </c>
      <c r="N76" s="13">
        <f>J76-G76</f>
        <v/>
      </c>
      <c r="O76" s="14">
        <f>IFERROR((J76-G76)/G76,"")</f>
        <v/>
      </c>
      <c r="P76" s="11">
        <f>K76-H76</f>
        <v/>
      </c>
    </row>
    <row r="77">
      <c r="A77" s="2" t="n">
        <v>73</v>
      </c>
      <c r="B77" s="2" t="inlineStr">
        <is>
          <t>R350-0065</t>
        </is>
      </c>
      <c r="C77" s="2" t="inlineStr">
        <is>
          <t>Urethral Queef</t>
        </is>
      </c>
      <c r="D77" s="2" t="inlineStr">
        <is>
          <t>Urethral Queef</t>
        </is>
      </c>
      <c r="E77" s="2" t="inlineStr">
        <is>
          <t>Exact name match (Pass 1) via canonical</t>
        </is>
      </c>
      <c r="F77" s="4" t="n">
        <v>178678375</v>
      </c>
      <c r="G77" s="4" t="n">
        <v>13406750553</v>
      </c>
      <c r="H77" s="4" t="n">
        <v>4575596</v>
      </c>
      <c r="I77" s="4" t="n">
        <v>184379497</v>
      </c>
      <c r="J77" s="4" t="n">
        <v>13861253740</v>
      </c>
      <c r="K77" s="4" t="n">
        <v>333700</v>
      </c>
      <c r="L77" s="7">
        <f>I77-F77</f>
        <v/>
      </c>
      <c r="M77" s="15">
        <f>IFERROR((I77-F77)/F77,"")</f>
        <v/>
      </c>
      <c r="N77" s="7">
        <f>J77-G77</f>
        <v/>
      </c>
      <c r="O77" s="8">
        <f>IFERROR((J77-G77)/G77,"")</f>
        <v/>
      </c>
      <c r="P77" s="5">
        <f>K77-H77</f>
        <v/>
      </c>
    </row>
    <row r="78">
      <c r="A78" s="9" t="n">
        <v>74</v>
      </c>
      <c r="B78" s="9" t="inlineStr">
        <is>
          <t>R350-0060</t>
        </is>
      </c>
      <c r="C78" s="9" t="inlineStr">
        <is>
          <t>EternalDeath</t>
        </is>
      </c>
      <c r="D78" s="9" t="inlineStr">
        <is>
          <t>EternalDeath</t>
        </is>
      </c>
      <c r="E78" s="9" t="inlineStr">
        <is>
          <t>Exact name match (Pass 1) via canonical</t>
        </is>
      </c>
      <c r="F78" s="10" t="n">
        <v>183968569</v>
      </c>
      <c r="G78" s="10" t="n">
        <v>5548895901</v>
      </c>
      <c r="H78" s="10" t="n">
        <v>26252994</v>
      </c>
      <c r="I78" s="10" t="n">
        <v>172901827</v>
      </c>
      <c r="J78" s="10" t="n">
        <v>5642763652</v>
      </c>
      <c r="K78" s="10" t="n">
        <v>246700</v>
      </c>
      <c r="L78" s="11">
        <f>I78-F78</f>
        <v/>
      </c>
      <c r="M78" s="12">
        <f>IFERROR((I78-F78)/F78,"")</f>
        <v/>
      </c>
      <c r="N78" s="13">
        <f>J78-G78</f>
        <v/>
      </c>
      <c r="O78" s="14">
        <f>IFERROR((J78-G78)/G78,"")</f>
        <v/>
      </c>
      <c r="P78" s="11">
        <f>K78-H78</f>
        <v/>
      </c>
    </row>
    <row r="79">
      <c r="A79" s="2" t="n">
        <v>75</v>
      </c>
      <c r="B79" s="2" t="inlineStr">
        <is>
          <t>R350-0080</t>
        </is>
      </c>
      <c r="C79" s="2" t="inlineStr">
        <is>
          <t>Quantum</t>
        </is>
      </c>
      <c r="D79" s="2" t="inlineStr">
        <is>
          <t>Quantum</t>
        </is>
      </c>
      <c r="E79" s="2" t="inlineStr">
        <is>
          <t>Exact name match (Pass 1) via canonical</t>
        </is>
      </c>
      <c r="F79" s="4" t="n">
        <v>181789377</v>
      </c>
      <c r="G79" s="4" t="n">
        <v>1239070271</v>
      </c>
      <c r="H79" s="4" t="n">
        <v>28533287</v>
      </c>
      <c r="I79" s="4" t="n">
        <v>183759441</v>
      </c>
      <c r="J79" s="4" t="n">
        <v>1335043603</v>
      </c>
      <c r="K79" s="4" t="n">
        <v>0</v>
      </c>
      <c r="L79" s="7">
        <f>I79-F79</f>
        <v/>
      </c>
      <c r="M79" s="15">
        <f>IFERROR((I79-F79)/F79,"")</f>
        <v/>
      </c>
      <c r="N79" s="7">
        <f>J79-G79</f>
        <v/>
      </c>
      <c r="O79" s="8">
        <f>IFERROR((J79-G79)/G79,"")</f>
        <v/>
      </c>
      <c r="P79" s="5">
        <f>K79-H79</f>
        <v/>
      </c>
    </row>
    <row r="80">
      <c r="A80" s="17" t="n">
        <v>76</v>
      </c>
      <c r="B80" s="17" t="inlineStr">
        <is>
          <t>R350-0044</t>
        </is>
      </c>
      <c r="C80" s="17" t="inlineStr">
        <is>
          <t>KatalonEc</t>
        </is>
      </c>
      <c r="D80" s="17" t="inlineStr">
        <is>
          <t>llllllllll</t>
        </is>
      </c>
      <c r="E80" s="17" t="inlineStr">
        <is>
          <t>CONFIRMED per Chow (31/10): same person, keep ID. ambiguous (Pass 2): dPower +1.47%, dKP +8.5988%, name similarity 0.11, competitors 4, neighbourhood_size 151; UNIQUENESS: FAILED</t>
        </is>
      </c>
      <c r="F80" s="18" t="n">
        <v>180911354</v>
      </c>
      <c r="G80" s="18" t="n">
        <v>9398379123</v>
      </c>
      <c r="H80" s="18" t="n">
        <v>925741</v>
      </c>
      <c r="I80" s="18" t="n">
        <v>183601742</v>
      </c>
      <c r="J80" s="18" t="n">
        <v>10206524626</v>
      </c>
      <c r="K80" s="18" t="n">
        <v>487200</v>
      </c>
      <c r="L80" s="19">
        <f>I80-F80</f>
        <v/>
      </c>
      <c r="M80" s="20">
        <f>IFERROR((I80-F80)/F80,"")</f>
        <v/>
      </c>
      <c r="N80" s="19">
        <f>J80-G80</f>
        <v/>
      </c>
      <c r="O80" s="21">
        <f>IFERROR((J80-G80)/G80,"")</f>
        <v/>
      </c>
      <c r="P80" s="22">
        <f>K80-H80</f>
        <v/>
      </c>
    </row>
    <row r="81">
      <c r="A81" s="2" t="n">
        <v>77</v>
      </c>
      <c r="B81" s="2" t="inlineStr">
        <is>
          <t>R350-0068</t>
        </is>
      </c>
      <c r="C81" s="2" t="inlineStr">
        <is>
          <t>zapekanka</t>
        </is>
      </c>
      <c r="D81" s="2" t="inlineStr">
        <is>
          <t>zapekanka</t>
        </is>
      </c>
      <c r="E81" s="2" t="inlineStr">
        <is>
          <t>Exact name match (Pass 1) via canonical</t>
        </is>
      </c>
      <c r="F81" s="4" t="n">
        <v>182785268</v>
      </c>
      <c r="G81" s="4" t="n">
        <v>3021506371</v>
      </c>
      <c r="H81" s="4" t="n">
        <v>822400</v>
      </c>
      <c r="I81" s="4" t="n">
        <v>161558801</v>
      </c>
      <c r="J81" s="4" t="n">
        <v>3096563990</v>
      </c>
      <c r="K81" s="4" t="n">
        <v>0</v>
      </c>
      <c r="L81" s="5">
        <f>I81-F81</f>
        <v/>
      </c>
      <c r="M81" s="6">
        <f>IFERROR((I81-F81)/F81,"")</f>
        <v/>
      </c>
      <c r="N81" s="7">
        <f>J81-G81</f>
        <v/>
      </c>
      <c r="O81" s="8">
        <f>IFERROR((J81-G81)/G81,"")</f>
        <v/>
      </c>
      <c r="P81" s="5">
        <f>K81-H81</f>
        <v/>
      </c>
    </row>
    <row r="82">
      <c r="A82" s="9" t="n">
        <v>78</v>
      </c>
      <c r="B82" s="9" t="inlineStr">
        <is>
          <t>R350-0046</t>
        </is>
      </c>
      <c r="C82" s="9" t="inlineStr">
        <is>
          <t>Beckett fett</t>
        </is>
      </c>
      <c r="D82" s="9" t="inlineStr">
        <is>
          <t>Beckett fett</t>
        </is>
      </c>
      <c r="E82" s="9" t="inlineStr">
        <is>
          <t>Exact name match (Pass 1) via canonical</t>
        </is>
      </c>
      <c r="F82" s="10" t="n">
        <v>181800325</v>
      </c>
      <c r="G82" s="10" t="n">
        <v>3806498284</v>
      </c>
      <c r="H82" s="10" t="n">
        <v>10149099</v>
      </c>
      <c r="I82" s="10" t="n">
        <v>181187300</v>
      </c>
      <c r="J82" s="10" t="n">
        <v>3941933264</v>
      </c>
      <c r="K82" s="10" t="n">
        <v>11042499</v>
      </c>
      <c r="L82" s="11">
        <f>I82-F82</f>
        <v/>
      </c>
      <c r="M82" s="12">
        <f>IFERROR((I82-F82)/F82,"")</f>
        <v/>
      </c>
      <c r="N82" s="13">
        <f>J82-G82</f>
        <v/>
      </c>
      <c r="O82" s="14">
        <f>IFERROR((J82-G82)/G82,"")</f>
        <v/>
      </c>
      <c r="P82" s="13">
        <f>K82-H82</f>
        <v/>
      </c>
    </row>
    <row r="83">
      <c r="A83" s="2" t="n">
        <v>79</v>
      </c>
      <c r="B83" s="2" t="inlineStr">
        <is>
          <t>R350-0063</t>
        </is>
      </c>
      <c r="C83" s="2" t="inlineStr">
        <is>
          <t>T1 Tarek</t>
        </is>
      </c>
      <c r="D83" s="2" t="inlineStr">
        <is>
          <t>T1 Tarek</t>
        </is>
      </c>
      <c r="E83" s="2" t="inlineStr">
        <is>
          <t>Exact name match (Pass 1) via canonical</t>
        </is>
      </c>
      <c r="F83" s="4" t="n">
        <v>181705279</v>
      </c>
      <c r="G83" s="4" t="n">
        <v>2324955799</v>
      </c>
      <c r="H83" s="4" t="n">
        <v>699000</v>
      </c>
      <c r="I83" s="4" t="n">
        <v>179665138</v>
      </c>
      <c r="J83" s="4" t="n">
        <v>2669493612</v>
      </c>
      <c r="K83" s="4" t="n">
        <v>1431300</v>
      </c>
      <c r="L83" s="5">
        <f>I83-F83</f>
        <v/>
      </c>
      <c r="M83" s="6">
        <f>IFERROR((I83-F83)/F83,"")</f>
        <v/>
      </c>
      <c r="N83" s="7">
        <f>J83-G83</f>
        <v/>
      </c>
      <c r="O83" s="8">
        <f>IFERROR((J83-G83)/G83,"")</f>
        <v/>
      </c>
      <c r="P83" s="7">
        <f>K83-H83</f>
        <v/>
      </c>
    </row>
    <row r="84">
      <c r="A84" s="9" t="n">
        <v>80</v>
      </c>
      <c r="B84" s="9" t="inlineStr">
        <is>
          <t>R350-0154</t>
        </is>
      </c>
      <c r="C84" s="9" t="inlineStr">
        <is>
          <t>Kenvin Tai</t>
        </is>
      </c>
      <c r="D84" s="9" t="inlineStr">
        <is>
          <t>Kenvin Tai</t>
        </is>
      </c>
      <c r="E84" s="9" t="inlineStr">
        <is>
          <t>Exact name match (Pass 1) via canonical</t>
        </is>
      </c>
      <c r="F84" s="10" t="n">
        <v>181503223</v>
      </c>
      <c r="G84" s="10" t="n">
        <v>1172799040</v>
      </c>
      <c r="H84" s="10" t="n">
        <v>53000</v>
      </c>
      <c r="I84" s="10" t="n">
        <v>169580009</v>
      </c>
      <c r="J84" s="10" t="n">
        <v>1209657609</v>
      </c>
      <c r="K84" s="10" t="n">
        <v>52500</v>
      </c>
      <c r="L84" s="11">
        <f>I84-F84</f>
        <v/>
      </c>
      <c r="M84" s="12">
        <f>IFERROR((I84-F84)/F84,"")</f>
        <v/>
      </c>
      <c r="N84" s="13">
        <f>J84-G84</f>
        <v/>
      </c>
      <c r="O84" s="14">
        <f>IFERROR((J84-G84)/G84,"")</f>
        <v/>
      </c>
      <c r="P84" s="11">
        <f>K84-H84</f>
        <v/>
      </c>
    </row>
    <row r="85">
      <c r="A85" s="2" t="n">
        <v>81</v>
      </c>
      <c r="B85" s="2" t="inlineStr">
        <is>
          <t>R350-0073</t>
        </is>
      </c>
      <c r="C85" s="2" t="inlineStr">
        <is>
          <t>Grimmy</t>
        </is>
      </c>
      <c r="D85" s="2" t="inlineStr">
        <is>
          <t>Grimmy</t>
        </is>
      </c>
      <c r="E85" s="2" t="inlineStr">
        <is>
          <t>Exact name match (Pass 1) via canonical</t>
        </is>
      </c>
      <c r="F85" s="4" t="n">
        <v>181447575</v>
      </c>
      <c r="G85" s="4" t="n">
        <v>6948474429</v>
      </c>
      <c r="H85" s="4" t="n">
        <v>877000</v>
      </c>
      <c r="I85" s="4" t="n">
        <v>178358639</v>
      </c>
      <c r="J85" s="4" t="n">
        <v>7109107201</v>
      </c>
      <c r="K85" s="4" t="n">
        <v>565100</v>
      </c>
      <c r="L85" s="5">
        <f>I85-F85</f>
        <v/>
      </c>
      <c r="M85" s="6">
        <f>IFERROR((I85-F85)/F85,"")</f>
        <v/>
      </c>
      <c r="N85" s="7">
        <f>J85-G85</f>
        <v/>
      </c>
      <c r="O85" s="8">
        <f>IFERROR((J85-G85)/G85,"")</f>
        <v/>
      </c>
      <c r="P85" s="5">
        <f>K85-H85</f>
        <v/>
      </c>
    </row>
    <row r="86">
      <c r="A86" s="9" t="n">
        <v>82</v>
      </c>
      <c r="B86" s="9" t="inlineStr">
        <is>
          <t>R350-0126</t>
        </is>
      </c>
      <c r="C86" s="9" t="inlineStr">
        <is>
          <t>Barcode</t>
        </is>
      </c>
      <c r="D86" s="9" t="inlineStr">
        <is>
          <t>Barcode</t>
        </is>
      </c>
      <c r="E86" s="9" t="inlineStr">
        <is>
          <t>Exact name match (Pass 1) via canonical</t>
        </is>
      </c>
      <c r="F86" s="10" t="n">
        <v>181364276</v>
      </c>
      <c r="G86" s="10" t="n">
        <v>3029698442</v>
      </c>
      <c r="H86" s="10" t="n">
        <v>34710416</v>
      </c>
      <c r="I86" s="10" t="n">
        <v>175548920</v>
      </c>
      <c r="J86" s="10" t="n">
        <v>3033653094</v>
      </c>
      <c r="K86" s="10" t="n">
        <v>35439116</v>
      </c>
      <c r="L86" s="11">
        <f>I86-F86</f>
        <v/>
      </c>
      <c r="M86" s="12">
        <f>IFERROR((I86-F86)/F86,"")</f>
        <v/>
      </c>
      <c r="N86" s="13">
        <f>J86-G86</f>
        <v/>
      </c>
      <c r="O86" s="14">
        <f>IFERROR((J86-G86)/G86,"")</f>
        <v/>
      </c>
      <c r="P86" s="13">
        <f>K86-H86</f>
        <v/>
      </c>
    </row>
    <row r="87">
      <c r="A87" s="2" t="n">
        <v>83</v>
      </c>
      <c r="B87" s="2" t="inlineStr">
        <is>
          <t>R350-0054</t>
        </is>
      </c>
      <c r="C87" s="2" t="inlineStr">
        <is>
          <t>Grace</t>
        </is>
      </c>
      <c r="D87" s="2" t="inlineStr">
        <is>
          <t>Grace</t>
        </is>
      </c>
      <c r="E87" s="2" t="inlineStr">
        <is>
          <t>Exact name match (Pass 1) via canonical</t>
        </is>
      </c>
      <c r="F87" s="4" t="n">
        <v>181258415</v>
      </c>
      <c r="G87" s="4" t="n">
        <v>2298855720</v>
      </c>
      <c r="H87" s="4" t="n">
        <v>13979300</v>
      </c>
      <c r="I87" s="4" t="n">
        <v>164210541</v>
      </c>
      <c r="J87" s="4" t="n">
        <v>2338872513</v>
      </c>
      <c r="K87" s="4" t="n">
        <v>20000</v>
      </c>
      <c r="L87" s="5">
        <f>I87-F87</f>
        <v/>
      </c>
      <c r="M87" s="6">
        <f>IFERROR((I87-F87)/F87,"")</f>
        <v/>
      </c>
      <c r="N87" s="7">
        <f>J87-G87</f>
        <v/>
      </c>
      <c r="O87" s="8">
        <f>IFERROR((J87-G87)/G87,"")</f>
        <v/>
      </c>
      <c r="P87" s="5">
        <f>K87-H87</f>
        <v/>
      </c>
    </row>
    <row r="88">
      <c r="A88" s="9" t="n">
        <v>84</v>
      </c>
      <c r="B88" s="9" t="inlineStr">
        <is>
          <t>R350-0105</t>
        </is>
      </c>
      <c r="C88" s="9" t="inlineStr">
        <is>
          <t>DickeY</t>
        </is>
      </c>
      <c r="D88" s="9" t="inlineStr">
        <is>
          <t>DickeY</t>
        </is>
      </c>
      <c r="E88" s="9" t="inlineStr">
        <is>
          <t>Exact name match (Pass 1) via canonical</t>
        </is>
      </c>
      <c r="F88" s="10" t="n">
        <v>178000146</v>
      </c>
      <c r="G88" s="10" t="n">
        <v>5475770971</v>
      </c>
      <c r="H88" s="10" t="n">
        <v>27630986</v>
      </c>
      <c r="I88" s="10" t="n">
        <v>180384892</v>
      </c>
      <c r="J88" s="10" t="n">
        <v>5593005654</v>
      </c>
      <c r="K88" s="10" t="n">
        <v>508000</v>
      </c>
      <c r="L88" s="13">
        <f>I88-F88</f>
        <v/>
      </c>
      <c r="M88" s="16">
        <f>IFERROR((I88-F88)/F88,"")</f>
        <v/>
      </c>
      <c r="N88" s="13">
        <f>J88-G88</f>
        <v/>
      </c>
      <c r="O88" s="14">
        <f>IFERROR((J88-G88)/G88,"")</f>
        <v/>
      </c>
      <c r="P88" s="11">
        <f>K88-H88</f>
        <v/>
      </c>
    </row>
    <row r="89">
      <c r="A89" s="2" t="n">
        <v>85</v>
      </c>
      <c r="B89" s="2" t="inlineStr">
        <is>
          <t>R350-0052</t>
        </is>
      </c>
      <c r="C89" s="2" t="inlineStr">
        <is>
          <t>MRS DEATH</t>
        </is>
      </c>
      <c r="D89" s="2" t="inlineStr">
        <is>
          <t>MRS DEATH</t>
        </is>
      </c>
      <c r="E89" s="2" t="inlineStr">
        <is>
          <t>Exact name match (Pass 1) via canonical</t>
        </is>
      </c>
      <c r="F89" s="4" t="n">
        <v>178343231</v>
      </c>
      <c r="G89" s="4" t="n">
        <v>3315079245</v>
      </c>
      <c r="H89" s="4" t="n">
        <v>19280508</v>
      </c>
      <c r="I89" s="4" t="n">
        <v>178229855</v>
      </c>
      <c r="J89" s="4" t="n">
        <v>3666038273</v>
      </c>
      <c r="K89" s="4" t="n">
        <v>434300</v>
      </c>
      <c r="L89" s="5">
        <f>I89-F89</f>
        <v/>
      </c>
      <c r="M89" s="6">
        <f>IFERROR((I89-F89)/F89,"")</f>
        <v/>
      </c>
      <c r="N89" s="7">
        <f>J89-G89</f>
        <v/>
      </c>
      <c r="O89" s="8">
        <f>IFERROR((J89-G89)/G89,"")</f>
        <v/>
      </c>
      <c r="P89" s="5">
        <f>K89-H89</f>
        <v/>
      </c>
    </row>
    <row r="90">
      <c r="A90" s="9" t="n">
        <v>86</v>
      </c>
      <c r="B90" s="9" t="inlineStr">
        <is>
          <t>R350-0125</t>
        </is>
      </c>
      <c r="C90" s="9" t="inlineStr">
        <is>
          <t>EzeKiel</t>
        </is>
      </c>
      <c r="D90" s="9" t="inlineStr">
        <is>
          <t>EzeKiel</t>
        </is>
      </c>
      <c r="E90" s="9" t="inlineStr">
        <is>
          <t>Exact name match (Pass 1) via canonical</t>
        </is>
      </c>
      <c r="F90" s="10" t="n">
        <v>178032478</v>
      </c>
      <c r="G90" s="10" t="n">
        <v>4571371078</v>
      </c>
      <c r="H90" s="10" t="n">
        <v>873891</v>
      </c>
      <c r="I90" s="10" t="n">
        <v>171369262</v>
      </c>
      <c r="J90" s="10" t="n">
        <v>4938948813</v>
      </c>
      <c r="K90" s="10" t="n">
        <v>32500</v>
      </c>
      <c r="L90" s="11">
        <f>I90-F90</f>
        <v/>
      </c>
      <c r="M90" s="12">
        <f>IFERROR((I90-F90)/F90,"")</f>
        <v/>
      </c>
      <c r="N90" s="13">
        <f>J90-G90</f>
        <v/>
      </c>
      <c r="O90" s="14">
        <f>IFERROR((J90-G90)/G90,"")</f>
        <v/>
      </c>
      <c r="P90" s="11">
        <f>K90-H90</f>
        <v/>
      </c>
    </row>
    <row r="91">
      <c r="A91" s="2" t="n">
        <v>87</v>
      </c>
      <c r="B91" s="2" t="inlineStr">
        <is>
          <t>R350-0074</t>
        </is>
      </c>
      <c r="C91" s="2" t="inlineStr">
        <is>
          <t>Simeply 3k usd</t>
        </is>
      </c>
      <c r="D91" s="2" t="inlineStr">
        <is>
          <t>Simeply 3k usd</t>
        </is>
      </c>
      <c r="E91" s="2" t="inlineStr">
        <is>
          <t>Exact name match (Pass 1) via alias screen name "Simeply 3k usd"</t>
        </is>
      </c>
      <c r="F91" s="4" t="n">
        <v>177489312</v>
      </c>
      <c r="G91" s="4" t="n">
        <v>5710665925</v>
      </c>
      <c r="H91" s="4" t="n">
        <v>16224983</v>
      </c>
      <c r="I91" s="4" t="n">
        <v>177590454</v>
      </c>
      <c r="J91" s="4" t="n">
        <v>5710665925</v>
      </c>
      <c r="K91" s="4" t="n">
        <v>16858383</v>
      </c>
      <c r="L91" s="7">
        <f>I91-F91</f>
        <v/>
      </c>
      <c r="M91" s="15">
        <f>IFERROR((I91-F91)/F91,"")</f>
        <v/>
      </c>
      <c r="N91" s="23">
        <f>J91-G91</f>
        <v/>
      </c>
      <c r="O91" s="24">
        <f>IFERROR((J91-G91)/G91,"")</f>
        <v/>
      </c>
      <c r="P91" s="7">
        <f>K91-H91</f>
        <v/>
      </c>
    </row>
    <row r="92">
      <c r="A92" s="9" t="n">
        <v>88</v>
      </c>
      <c r="B92" s="9" t="inlineStr">
        <is>
          <t>R350-0113</t>
        </is>
      </c>
      <c r="C92" s="9" t="inlineStr">
        <is>
          <t>Okeanisa</t>
        </is>
      </c>
      <c r="D92" s="9" t="inlineStr">
        <is>
          <t>Okeanisa</t>
        </is>
      </c>
      <c r="E92" s="9" t="inlineStr">
        <is>
          <t>Exact name match (Pass 1) via canonical</t>
        </is>
      </c>
      <c r="F92" s="10" t="n">
        <v>177192634</v>
      </c>
      <c r="G92" s="10" t="n">
        <v>1036389488</v>
      </c>
      <c r="H92" s="10" t="n">
        <v>33981028</v>
      </c>
      <c r="I92" s="10" t="n">
        <v>168974789</v>
      </c>
      <c r="J92" s="10" t="n">
        <v>1047899629</v>
      </c>
      <c r="K92" s="10" t="n">
        <v>243200</v>
      </c>
      <c r="L92" s="11">
        <f>I92-F92</f>
        <v/>
      </c>
      <c r="M92" s="12">
        <f>IFERROR((I92-F92)/F92,"")</f>
        <v/>
      </c>
      <c r="N92" s="13">
        <f>J92-G92</f>
        <v/>
      </c>
      <c r="O92" s="14">
        <f>IFERROR((J92-G92)/G92,"")</f>
        <v/>
      </c>
      <c r="P92" s="11">
        <f>K92-H92</f>
        <v/>
      </c>
    </row>
    <row r="93">
      <c r="A93" s="2" t="n">
        <v>89</v>
      </c>
      <c r="B93" s="2" t="inlineStr">
        <is>
          <t>R350-0077</t>
        </is>
      </c>
      <c r="C93" s="2" t="inlineStr">
        <is>
          <t>Inspector Crow</t>
        </is>
      </c>
      <c r="D93" s="2" t="inlineStr">
        <is>
          <t>Inspector Crow</t>
        </is>
      </c>
      <c r="E93" s="2" t="inlineStr">
        <is>
          <t>Exact name match (Pass 1) via canonical</t>
        </is>
      </c>
      <c r="F93" s="4" t="n">
        <v>177008160</v>
      </c>
      <c r="G93" s="4" t="n">
        <v>3715351213</v>
      </c>
      <c r="H93" s="4" t="n">
        <v>29331040</v>
      </c>
      <c r="I93" s="4" t="n">
        <v>172062198</v>
      </c>
      <c r="J93" s="4" t="n">
        <v>3798719668</v>
      </c>
      <c r="K93" s="4" t="n">
        <v>120800</v>
      </c>
      <c r="L93" s="5">
        <f>I93-F93</f>
        <v/>
      </c>
      <c r="M93" s="6">
        <f>IFERROR((I93-F93)/F93,"")</f>
        <v/>
      </c>
      <c r="N93" s="7">
        <f>J93-G93</f>
        <v/>
      </c>
      <c r="O93" s="8">
        <f>IFERROR((J93-G93)/G93,"")</f>
        <v/>
      </c>
      <c r="P93" s="5">
        <f>K93-H93</f>
        <v/>
      </c>
    </row>
    <row r="94">
      <c r="A94" s="9" t="n">
        <v>90</v>
      </c>
      <c r="B94" s="9" t="inlineStr">
        <is>
          <t>R350-0059</t>
        </is>
      </c>
      <c r="C94" s="9" t="inlineStr">
        <is>
          <t>Mifeng</t>
        </is>
      </c>
      <c r="D94" s="9" t="inlineStr">
        <is>
          <t>Mifeng</t>
        </is>
      </c>
      <c r="E94" s="9" t="inlineStr">
        <is>
          <t>Exact name match (Pass 1) via canonical</t>
        </is>
      </c>
      <c r="F94" s="10" t="n">
        <v>169481118</v>
      </c>
      <c r="G94" s="10" t="n">
        <v>3800278558</v>
      </c>
      <c r="H94" s="10" t="n">
        <v>4527800</v>
      </c>
      <c r="I94" s="10" t="n">
        <v>176461040</v>
      </c>
      <c r="J94" s="10" t="n">
        <v>3841793345</v>
      </c>
      <c r="K94" s="10" t="n">
        <v>0</v>
      </c>
      <c r="L94" s="13">
        <f>I94-F94</f>
        <v/>
      </c>
      <c r="M94" s="16">
        <f>IFERROR((I94-F94)/F94,"")</f>
        <v/>
      </c>
      <c r="N94" s="13">
        <f>J94-G94</f>
        <v/>
      </c>
      <c r="O94" s="14">
        <f>IFERROR((J94-G94)/G94,"")</f>
        <v/>
      </c>
      <c r="P94" s="11">
        <f>K94-H94</f>
        <v/>
      </c>
    </row>
    <row r="95">
      <c r="A95" s="2" t="n">
        <v>91</v>
      </c>
      <c r="B95" s="2" t="inlineStr">
        <is>
          <t>R350-0103</t>
        </is>
      </c>
      <c r="C95" s="2" t="inlineStr">
        <is>
          <t>xxx LEGACY xxx</t>
        </is>
      </c>
      <c r="D95" s="2" t="inlineStr">
        <is>
          <t>xxx LEGACY xxx</t>
        </is>
      </c>
      <c r="E95" s="2" t="inlineStr">
        <is>
          <t>Exact name match (Pass 1) via alias screen name "xxx LEGACY xxx"</t>
        </is>
      </c>
      <c r="F95" s="4" t="n">
        <v>173482324</v>
      </c>
      <c r="G95" s="4" t="n">
        <v>1186502980</v>
      </c>
      <c r="H95" s="4" t="n">
        <v>806492</v>
      </c>
      <c r="I95" s="4" t="n">
        <v>176095181</v>
      </c>
      <c r="J95" s="4" t="n">
        <v>1213200769</v>
      </c>
      <c r="K95" s="4" t="n">
        <v>1394007</v>
      </c>
      <c r="L95" s="7">
        <f>I95-F95</f>
        <v/>
      </c>
      <c r="M95" s="15">
        <f>IFERROR((I95-F95)/F95,"")</f>
        <v/>
      </c>
      <c r="N95" s="7">
        <f>J95-G95</f>
        <v/>
      </c>
      <c r="O95" s="8">
        <f>IFERROR((J95-G95)/G95,"")</f>
        <v/>
      </c>
      <c r="P95" s="7">
        <f>K95-H95</f>
        <v/>
      </c>
    </row>
    <row r="96">
      <c r="A96" s="9" t="n">
        <v>92</v>
      </c>
      <c r="B96" s="9" t="inlineStr">
        <is>
          <t>R350-0135</t>
        </is>
      </c>
      <c r="C96" s="9" t="inlineStr">
        <is>
          <t>S i r</t>
        </is>
      </c>
      <c r="D96" s="9" t="inlineStr">
        <is>
          <t>S i r</t>
        </is>
      </c>
      <c r="E96" s="9" t="inlineStr">
        <is>
          <t>Exact name match (Pass 1) via canonical</t>
        </is>
      </c>
      <c r="F96" s="10" t="n">
        <v>175948948</v>
      </c>
      <c r="G96" s="10" t="n">
        <v>1400181843</v>
      </c>
      <c r="H96" s="10" t="n">
        <v>5172672</v>
      </c>
      <c r="I96" s="10" t="n">
        <v>175078328</v>
      </c>
      <c r="J96" s="10" t="n">
        <v>1416821964</v>
      </c>
      <c r="K96" s="10" t="n">
        <v>5885272</v>
      </c>
      <c r="L96" s="11">
        <f>I96-F96</f>
        <v/>
      </c>
      <c r="M96" s="12">
        <f>IFERROR((I96-F96)/F96,"")</f>
        <v/>
      </c>
      <c r="N96" s="13">
        <f>J96-G96</f>
        <v/>
      </c>
      <c r="O96" s="14">
        <f>IFERROR((J96-G96)/G96,"")</f>
        <v/>
      </c>
      <c r="P96" s="13">
        <f>K96-H96</f>
        <v/>
      </c>
    </row>
    <row r="97">
      <c r="A97" s="2" t="n">
        <v>93</v>
      </c>
      <c r="B97" s="2" t="inlineStr">
        <is>
          <t>R350-0120</t>
        </is>
      </c>
      <c r="C97" s="2" t="inlineStr">
        <is>
          <t>Noixa</t>
        </is>
      </c>
      <c r="D97" s="2" t="inlineStr">
        <is>
          <t>Noixa</t>
        </is>
      </c>
      <c r="E97" s="2" t="inlineStr">
        <is>
          <t>Exact name match (Pass 1) via canonical</t>
        </is>
      </c>
      <c r="F97" s="4" t="n">
        <v>175777589</v>
      </c>
      <c r="G97" s="4" t="n">
        <v>3138127682</v>
      </c>
      <c r="H97" s="4" t="n">
        <v>7183907</v>
      </c>
      <c r="I97" s="4" t="n">
        <v>172169127</v>
      </c>
      <c r="J97" s="4" t="n">
        <v>3303794420</v>
      </c>
      <c r="K97" s="4" t="n">
        <v>7936507</v>
      </c>
      <c r="L97" s="5">
        <f>I97-F97</f>
        <v/>
      </c>
      <c r="M97" s="6">
        <f>IFERROR((I97-F97)/F97,"")</f>
        <v/>
      </c>
      <c r="N97" s="7">
        <f>J97-G97</f>
        <v/>
      </c>
      <c r="O97" s="8">
        <f>IFERROR((J97-G97)/G97,"")</f>
        <v/>
      </c>
      <c r="P97" s="7">
        <f>K97-H97</f>
        <v/>
      </c>
    </row>
    <row r="98">
      <c r="A98" s="9" t="n">
        <v>94</v>
      </c>
      <c r="B98" s="9" t="inlineStr">
        <is>
          <t>R350-0106</t>
        </is>
      </c>
      <c r="C98" s="9" t="inlineStr">
        <is>
          <t>彡MiaMoR彡</t>
        </is>
      </c>
      <c r="D98" s="9" t="inlineStr">
        <is>
          <t>彡MiaMoR彡</t>
        </is>
      </c>
      <c r="E98" s="9" t="inlineStr">
        <is>
          <t>Exact name match (Pass 1) via alias screen name "彡MiaMoR彡"</t>
        </is>
      </c>
      <c r="F98" s="10" t="n">
        <v>175484232</v>
      </c>
      <c r="G98" s="10" t="n">
        <v>1092889256</v>
      </c>
      <c r="H98" s="10" t="n">
        <v>5432901</v>
      </c>
      <c r="I98" s="10" t="n">
        <v>169731925</v>
      </c>
      <c r="J98" s="10" t="n">
        <v>1157555291</v>
      </c>
      <c r="K98" s="10" t="n">
        <v>0</v>
      </c>
      <c r="L98" s="11">
        <f>I98-F98</f>
        <v/>
      </c>
      <c r="M98" s="12">
        <f>IFERROR((I98-F98)/F98,"")</f>
        <v/>
      </c>
      <c r="N98" s="13">
        <f>J98-G98</f>
        <v/>
      </c>
      <c r="O98" s="14">
        <f>IFERROR((J98-G98)/G98,"")</f>
        <v/>
      </c>
      <c r="P98" s="11">
        <f>K98-H98</f>
        <v/>
      </c>
    </row>
    <row r="99">
      <c r="A99" s="2" t="n">
        <v>95</v>
      </c>
      <c r="B99" s="2" t="inlineStr">
        <is>
          <t>R350-0053</t>
        </is>
      </c>
      <c r="C99" s="2" t="inlineStr">
        <is>
          <t>Toroto</t>
        </is>
      </c>
      <c r="D99" s="2" t="inlineStr">
        <is>
          <t>Toroto</t>
        </is>
      </c>
      <c r="E99" s="2" t="inlineStr">
        <is>
          <t>Exact name match (Pass 1) via canonical</t>
        </is>
      </c>
      <c r="F99" s="4" t="n">
        <v>173364226</v>
      </c>
      <c r="G99" s="4" t="n">
        <v>4024237111</v>
      </c>
      <c r="H99" s="4" t="n">
        <v>34193953</v>
      </c>
      <c r="I99" s="4" t="n">
        <v>175357766</v>
      </c>
      <c r="J99" s="4" t="n">
        <v>4271189919</v>
      </c>
      <c r="K99" s="4" t="n">
        <v>0</v>
      </c>
      <c r="L99" s="7">
        <f>I99-F99</f>
        <v/>
      </c>
      <c r="M99" s="15">
        <f>IFERROR((I99-F99)/F99,"")</f>
        <v/>
      </c>
      <c r="N99" s="7">
        <f>J99-G99</f>
        <v/>
      </c>
      <c r="O99" s="8">
        <f>IFERROR((J99-G99)/G99,"")</f>
        <v/>
      </c>
      <c r="P99" s="5">
        <f>K99-H99</f>
        <v/>
      </c>
    </row>
    <row r="100">
      <c r="A100" s="9" t="n">
        <v>96</v>
      </c>
      <c r="B100" s="9" t="inlineStr">
        <is>
          <t>R350-0092</t>
        </is>
      </c>
      <c r="C100" s="9" t="inlineStr">
        <is>
          <t>MeLioDas</t>
        </is>
      </c>
      <c r="D100" s="9" t="inlineStr">
        <is>
          <t>MeLioDas</t>
        </is>
      </c>
      <c r="E100" s="9" t="inlineStr">
        <is>
          <t>Exact name match (Pass 1) via canonical</t>
        </is>
      </c>
      <c r="F100" s="10" t="n">
        <v>175198285</v>
      </c>
      <c r="G100" s="10" t="n">
        <v>1249613876</v>
      </c>
      <c r="H100" s="10" t="n">
        <v>1145692</v>
      </c>
      <c r="I100" s="10" t="n">
        <v>174214316</v>
      </c>
      <c r="J100" s="10" t="n">
        <v>1268905432</v>
      </c>
      <c r="K100" s="10" t="n">
        <v>1918692</v>
      </c>
      <c r="L100" s="11">
        <f>I100-F100</f>
        <v/>
      </c>
      <c r="M100" s="12">
        <f>IFERROR((I100-F100)/F100,"")</f>
        <v/>
      </c>
      <c r="N100" s="13">
        <f>J100-G100</f>
        <v/>
      </c>
      <c r="O100" s="14">
        <f>IFERROR((J100-G100)/G100,"")</f>
        <v/>
      </c>
      <c r="P100" s="13">
        <f>K100-H100</f>
        <v/>
      </c>
    </row>
    <row r="101">
      <c r="A101" s="2" t="n">
        <v>97</v>
      </c>
      <c r="B101" s="2" t="inlineStr">
        <is>
          <t>R350-0093</t>
        </is>
      </c>
      <c r="C101" s="2" t="inlineStr">
        <is>
          <t>Barb</t>
        </is>
      </c>
      <c r="D101" s="2" t="inlineStr">
        <is>
          <t>Barb</t>
        </is>
      </c>
      <c r="E101" s="2" t="inlineStr">
        <is>
          <t>Exact name match (Pass 1) via canonical</t>
        </is>
      </c>
      <c r="F101" s="4" t="n">
        <v>174965623</v>
      </c>
      <c r="G101" s="4" t="n">
        <v>17412187389</v>
      </c>
      <c r="H101" s="4" t="n">
        <v>759100</v>
      </c>
      <c r="I101" s="4" t="n">
        <v>167362017</v>
      </c>
      <c r="J101" s="4" t="n">
        <v>18225667018</v>
      </c>
      <c r="K101" s="4" t="n">
        <v>57500</v>
      </c>
      <c r="L101" s="5">
        <f>I101-F101</f>
        <v/>
      </c>
      <c r="M101" s="6">
        <f>IFERROR((I101-F101)/F101,"")</f>
        <v/>
      </c>
      <c r="N101" s="7">
        <f>J101-G101</f>
        <v/>
      </c>
      <c r="O101" s="8">
        <f>IFERROR((J101-G101)/G101,"")</f>
        <v/>
      </c>
      <c r="P101" s="5">
        <f>K101-H101</f>
        <v/>
      </c>
    </row>
    <row r="102">
      <c r="A102" s="9" t="n">
        <v>98</v>
      </c>
      <c r="B102" s="9" t="inlineStr">
        <is>
          <t>R350-0104</t>
        </is>
      </c>
      <c r="C102" s="9" t="inlineStr">
        <is>
          <t>RenatDoc</t>
        </is>
      </c>
      <c r="D102" s="9" t="inlineStr">
        <is>
          <t>RenatDoc</t>
        </is>
      </c>
      <c r="E102" s="9" t="inlineStr">
        <is>
          <t>Exact name match (Pass 1) via alias screen name "RenatDoc"</t>
        </is>
      </c>
      <c r="F102" s="10" t="n">
        <v>174607280</v>
      </c>
      <c r="G102" s="10" t="n">
        <v>6272006534</v>
      </c>
      <c r="H102" s="10" t="n">
        <v>788477</v>
      </c>
      <c r="I102" s="10" t="n">
        <v>171915366</v>
      </c>
      <c r="J102" s="10" t="n">
        <v>6323438059</v>
      </c>
      <c r="K102" s="10" t="n">
        <v>47000</v>
      </c>
      <c r="L102" s="11">
        <f>I102-F102</f>
        <v/>
      </c>
      <c r="M102" s="12">
        <f>IFERROR((I102-F102)/F102,"")</f>
        <v/>
      </c>
      <c r="N102" s="13">
        <f>J102-G102</f>
        <v/>
      </c>
      <c r="O102" s="14">
        <f>IFERROR((J102-G102)/G102,"")</f>
        <v/>
      </c>
      <c r="P102" s="11">
        <f>K102-H102</f>
        <v/>
      </c>
    </row>
    <row r="103">
      <c r="A103" s="2" t="n">
        <v>99</v>
      </c>
      <c r="B103" s="2" t="inlineStr">
        <is>
          <t>R350-0200</t>
        </is>
      </c>
      <c r="C103" s="2" t="inlineStr">
        <is>
          <t>o0oHackDiep68</t>
        </is>
      </c>
      <c r="D103" s="2" t="inlineStr">
        <is>
          <t>o0oHackDiep68</t>
        </is>
      </c>
      <c r="E103" s="2" t="inlineStr">
        <is>
          <t>Exact name match (Pass 1) via canonical</t>
        </is>
      </c>
      <c r="F103" s="4" t="n">
        <v>174585145</v>
      </c>
      <c r="G103" s="4" t="n">
        <v>1381774607</v>
      </c>
      <c r="H103" s="4" t="n">
        <v>26032582</v>
      </c>
      <c r="I103" s="4" t="n">
        <v>173450685</v>
      </c>
      <c r="J103" s="4" t="n">
        <v>1387301486</v>
      </c>
      <c r="K103" s="4" t="n">
        <v>0</v>
      </c>
      <c r="L103" s="5">
        <f>I103-F103</f>
        <v/>
      </c>
      <c r="M103" s="6">
        <f>IFERROR((I103-F103)/F103,"")</f>
        <v/>
      </c>
      <c r="N103" s="7">
        <f>J103-G103</f>
        <v/>
      </c>
      <c r="O103" s="8">
        <f>IFERROR((J103-G103)/G103,"")</f>
        <v/>
      </c>
      <c r="P103" s="5">
        <f>K103-H103</f>
        <v/>
      </c>
    </row>
    <row r="104">
      <c r="A104" s="9" t="n">
        <v>100</v>
      </c>
      <c r="B104" s="9" t="inlineStr">
        <is>
          <t>R350-0137</t>
        </is>
      </c>
      <c r="C104" s="9" t="inlineStr">
        <is>
          <t>YouKnow</t>
        </is>
      </c>
      <c r="D104" s="9" t="inlineStr">
        <is>
          <t>YouKnow</t>
        </is>
      </c>
      <c r="E104" s="9" t="inlineStr">
        <is>
          <t>Exact name match (Pass 1) via canonical</t>
        </is>
      </c>
      <c r="F104" s="10" t="n">
        <v>174467289</v>
      </c>
      <c r="G104" s="10" t="n">
        <v>1396664266</v>
      </c>
      <c r="H104" s="10" t="n">
        <v>861600</v>
      </c>
      <c r="I104" s="10" t="n">
        <v>169731451</v>
      </c>
      <c r="J104" s="10" t="n">
        <v>1405617918</v>
      </c>
      <c r="K104" s="10" t="n">
        <v>246200</v>
      </c>
      <c r="L104" s="11">
        <f>I104-F104</f>
        <v/>
      </c>
      <c r="M104" s="12">
        <f>IFERROR((I104-F104)/F104,"")</f>
        <v/>
      </c>
      <c r="N104" s="13">
        <f>J104-G104</f>
        <v/>
      </c>
      <c r="O104" s="14">
        <f>IFERROR((J104-G104)/G104,"")</f>
        <v/>
      </c>
      <c r="P104" s="11">
        <f>K104-H104</f>
        <v/>
      </c>
    </row>
    <row r="105">
      <c r="A105" s="2" t="n">
        <v>101</v>
      </c>
      <c r="B105" s="2" t="inlineStr">
        <is>
          <t>R350-0033</t>
        </is>
      </c>
      <c r="C105" s="2" t="inlineStr">
        <is>
          <t>Nephrite</t>
        </is>
      </c>
      <c r="D105" s="2" t="inlineStr">
        <is>
          <t>Nephrite</t>
        </is>
      </c>
      <c r="E105" s="2" t="inlineStr">
        <is>
          <t>Exact name match (Pass 1) via canonical</t>
        </is>
      </c>
      <c r="F105" s="4" t="n">
        <v>168122027</v>
      </c>
      <c r="G105" s="4" t="n">
        <v>9069970206</v>
      </c>
      <c r="H105" s="4" t="n">
        <v>4759423</v>
      </c>
      <c r="I105" s="4" t="n">
        <v>174415435</v>
      </c>
      <c r="J105" s="4" t="n">
        <v>9805740186</v>
      </c>
      <c r="K105" s="4" t="n">
        <v>0</v>
      </c>
      <c r="L105" s="7">
        <f>I105-F105</f>
        <v/>
      </c>
      <c r="M105" s="15">
        <f>IFERROR((I105-F105)/F105,"")</f>
        <v/>
      </c>
      <c r="N105" s="7">
        <f>J105-G105</f>
        <v/>
      </c>
      <c r="O105" s="8">
        <f>IFERROR((J105-G105)/G105,"")</f>
        <v/>
      </c>
      <c r="P105" s="5">
        <f>K105-H105</f>
        <v/>
      </c>
    </row>
    <row r="106">
      <c r="A106" s="9" t="n">
        <v>102</v>
      </c>
      <c r="B106" s="9" t="inlineStr">
        <is>
          <t>R350-0158</t>
        </is>
      </c>
      <c r="C106" s="9" t="inlineStr">
        <is>
          <t>Mumford</t>
        </is>
      </c>
      <c r="D106" s="9" t="inlineStr">
        <is>
          <t>Mumford</t>
        </is>
      </c>
      <c r="E106" s="9" t="inlineStr">
        <is>
          <t>Exact name match (Pass 1) via canonical</t>
        </is>
      </c>
      <c r="F106" s="10" t="n">
        <v>173599398</v>
      </c>
      <c r="G106" s="10" t="n">
        <v>479807595</v>
      </c>
      <c r="H106" s="10" t="n">
        <v>981418</v>
      </c>
      <c r="I106" s="10" t="n">
        <v>172683130</v>
      </c>
      <c r="J106" s="10" t="n">
        <v>485673895</v>
      </c>
      <c r="K106" s="10" t="n">
        <v>1713809</v>
      </c>
      <c r="L106" s="11">
        <f>I106-F106</f>
        <v/>
      </c>
      <c r="M106" s="12">
        <f>IFERROR((I106-F106)/F106,"")</f>
        <v/>
      </c>
      <c r="N106" s="13">
        <f>J106-G106</f>
        <v/>
      </c>
      <c r="O106" s="14">
        <f>IFERROR((J106-G106)/G106,"")</f>
        <v/>
      </c>
      <c r="P106" s="13">
        <f>K106-H106</f>
        <v/>
      </c>
    </row>
    <row r="107">
      <c r="A107" s="2" t="n">
        <v>103</v>
      </c>
      <c r="B107" s="2" t="inlineStr">
        <is>
          <t>R350-0055</t>
        </is>
      </c>
      <c r="C107" s="2" t="inlineStr">
        <is>
          <t>BRAVE</t>
        </is>
      </c>
      <c r="D107" s="2" t="inlineStr">
        <is>
          <t>BRAVE</t>
        </is>
      </c>
      <c r="E107" s="2" t="inlineStr">
        <is>
          <t>Exact name match (Pass 1) via canonical</t>
        </is>
      </c>
      <c r="F107" s="4" t="n">
        <v>173235504</v>
      </c>
      <c r="G107" s="4" t="n">
        <v>6078407139</v>
      </c>
      <c r="H107" s="4" t="n">
        <v>418100</v>
      </c>
      <c r="I107" s="4" t="n">
        <v>167787758</v>
      </c>
      <c r="J107" s="4" t="n">
        <v>6343928655</v>
      </c>
      <c r="K107" s="4" t="n">
        <v>1177200</v>
      </c>
      <c r="L107" s="5">
        <f>I107-F107</f>
        <v/>
      </c>
      <c r="M107" s="6">
        <f>IFERROR((I107-F107)/F107,"")</f>
        <v/>
      </c>
      <c r="N107" s="7">
        <f>J107-G107</f>
        <v/>
      </c>
      <c r="O107" s="8">
        <f>IFERROR((J107-G107)/G107,"")</f>
        <v/>
      </c>
      <c r="P107" s="7">
        <f>K107-H107</f>
        <v/>
      </c>
    </row>
    <row r="108">
      <c r="A108" s="9" t="n">
        <v>104</v>
      </c>
      <c r="B108" s="9" t="inlineStr">
        <is>
          <t>R350-0133</t>
        </is>
      </c>
      <c r="C108" s="9" t="inlineStr">
        <is>
          <t>TarunPy</t>
        </is>
      </c>
      <c r="D108" s="9" t="inlineStr">
        <is>
          <t>ТагилРу</t>
        </is>
      </c>
      <c r="E108" s="9" t="inlineStr">
        <is>
          <t>Exact name match (Pass 1) via canonical</t>
        </is>
      </c>
      <c r="F108" s="10" t="n">
        <v>173000563</v>
      </c>
      <c r="G108" s="10" t="n">
        <v>1169348935</v>
      </c>
      <c r="H108" s="10" t="n">
        <v>5169062</v>
      </c>
      <c r="I108" s="10" t="n">
        <v>119730710</v>
      </c>
      <c r="J108" s="10" t="n">
        <v>1242764131</v>
      </c>
      <c r="K108" s="10" t="n">
        <v>547222</v>
      </c>
      <c r="L108" s="11">
        <f>I108-F108</f>
        <v/>
      </c>
      <c r="M108" s="12">
        <f>IFERROR((I108-F108)/F108,"")</f>
        <v/>
      </c>
      <c r="N108" s="13">
        <f>J108-G108</f>
        <v/>
      </c>
      <c r="O108" s="14">
        <f>IFERROR((J108-G108)/G108,"")</f>
        <v/>
      </c>
      <c r="P108" s="11">
        <f>K108-H108</f>
        <v/>
      </c>
    </row>
    <row r="109">
      <c r="A109" s="2" t="n">
        <v>105</v>
      </c>
      <c r="B109" s="2" t="inlineStr">
        <is>
          <t>R350-0115</t>
        </is>
      </c>
      <c r="C109" s="2" t="inlineStr">
        <is>
          <t>hab1st</t>
        </is>
      </c>
      <c r="D109" s="2" t="inlineStr">
        <is>
          <t>hab1st</t>
        </is>
      </c>
      <c r="E109" s="2" t="inlineStr">
        <is>
          <t>Exact name match (Pass 1) via canonical</t>
        </is>
      </c>
      <c r="F109" s="4" t="n">
        <v>172891928</v>
      </c>
      <c r="G109" s="4" t="n">
        <v>2260743472</v>
      </c>
      <c r="H109" s="4" t="n">
        <v>254800</v>
      </c>
      <c r="I109" s="4" t="n">
        <v>163859955</v>
      </c>
      <c r="J109" s="4" t="n">
        <v>2372437435</v>
      </c>
      <c r="K109" s="4" t="n">
        <v>0</v>
      </c>
      <c r="L109" s="5">
        <f>I109-F109</f>
        <v/>
      </c>
      <c r="M109" s="6">
        <f>IFERROR((I109-F109)/F109,"")</f>
        <v/>
      </c>
      <c r="N109" s="7">
        <f>J109-G109</f>
        <v/>
      </c>
      <c r="O109" s="8">
        <f>IFERROR((J109-G109)/G109,"")</f>
        <v/>
      </c>
      <c r="P109" s="5">
        <f>K109-H109</f>
        <v/>
      </c>
    </row>
    <row r="110">
      <c r="A110" s="9" t="n">
        <v>106</v>
      </c>
      <c r="B110" s="9" t="inlineStr">
        <is>
          <t>R350-0124</t>
        </is>
      </c>
      <c r="C110" s="9" t="inlineStr">
        <is>
          <t>l3omb</t>
        </is>
      </c>
      <c r="D110" s="9" t="inlineStr">
        <is>
          <t>l3omb</t>
        </is>
      </c>
      <c r="E110" s="9" t="inlineStr">
        <is>
          <t>Exact name match (Pass 1) via canonical</t>
        </is>
      </c>
      <c r="F110" s="10" t="n">
        <v>172349077</v>
      </c>
      <c r="G110" s="10" t="n">
        <v>1405393141</v>
      </c>
      <c r="H110" s="10" t="n">
        <v>7031442</v>
      </c>
      <c r="I110" s="10" t="n">
        <v>167354040</v>
      </c>
      <c r="J110" s="10" t="n">
        <v>1423491234</v>
      </c>
      <c r="K110" s="10" t="n">
        <v>177500</v>
      </c>
      <c r="L110" s="11">
        <f>I110-F110</f>
        <v/>
      </c>
      <c r="M110" s="12">
        <f>IFERROR((I110-F110)/F110,"")</f>
        <v/>
      </c>
      <c r="N110" s="13">
        <f>J110-G110</f>
        <v/>
      </c>
      <c r="O110" s="14">
        <f>IFERROR((J110-G110)/G110,"")</f>
        <v/>
      </c>
      <c r="P110" s="11">
        <f>K110-H110</f>
        <v/>
      </c>
    </row>
    <row r="111">
      <c r="A111" s="2" t="n">
        <v>107</v>
      </c>
      <c r="B111" s="2" t="inlineStr">
        <is>
          <t>R350-0071</t>
        </is>
      </c>
      <c r="C111" s="2" t="inlineStr">
        <is>
          <t>Công Đạo</t>
        </is>
      </c>
      <c r="D111" s="2" t="inlineStr">
        <is>
          <t>Công Đạo</t>
        </is>
      </c>
      <c r="E111" s="2" t="inlineStr">
        <is>
          <t>Exact name match (Pass 1) via canonical</t>
        </is>
      </c>
      <c r="F111" s="4" t="n">
        <v>172305523</v>
      </c>
      <c r="G111" s="4" t="n">
        <v>3572703290</v>
      </c>
      <c r="H111" s="4" t="n">
        <v>5538500</v>
      </c>
      <c r="I111" s="4" t="n">
        <v>171566482</v>
      </c>
      <c r="J111" s="4" t="n">
        <v>3702408029</v>
      </c>
      <c r="K111" s="4" t="n">
        <v>0</v>
      </c>
      <c r="L111" s="5">
        <f>I111-F111</f>
        <v/>
      </c>
      <c r="M111" s="6">
        <f>IFERROR((I111-F111)/F111,"")</f>
        <v/>
      </c>
      <c r="N111" s="7">
        <f>J111-G111</f>
        <v/>
      </c>
      <c r="O111" s="8">
        <f>IFERROR((J111-G111)/G111,"")</f>
        <v/>
      </c>
      <c r="P111" s="5">
        <f>K111-H111</f>
        <v/>
      </c>
    </row>
    <row r="112">
      <c r="A112" s="9" t="n">
        <v>108</v>
      </c>
      <c r="B112" s="9" t="inlineStr">
        <is>
          <t>R350-0066</t>
        </is>
      </c>
      <c r="C112" s="9" t="inlineStr">
        <is>
          <t>Ragnar Pedro</t>
        </is>
      </c>
      <c r="D112" s="9" t="inlineStr">
        <is>
          <t>Ragnar Pedro</t>
        </is>
      </c>
      <c r="E112" s="9" t="inlineStr">
        <is>
          <t>Exact name match (Pass 1) via canonical</t>
        </is>
      </c>
      <c r="F112" s="10" t="n">
        <v>172149232</v>
      </c>
      <c r="G112" s="10" t="n">
        <v>3330580980</v>
      </c>
      <c r="H112" s="10" t="n">
        <v>89072490</v>
      </c>
      <c r="I112" s="10" t="n">
        <v>171713788</v>
      </c>
      <c r="J112" s="10" t="n">
        <v>3447834090</v>
      </c>
      <c r="K112" s="10" t="n">
        <v>89750090</v>
      </c>
      <c r="L112" s="11">
        <f>I112-F112</f>
        <v/>
      </c>
      <c r="M112" s="12">
        <f>IFERROR((I112-F112)/F112,"")</f>
        <v/>
      </c>
      <c r="N112" s="13">
        <f>J112-G112</f>
        <v/>
      </c>
      <c r="O112" s="14">
        <f>IFERROR((J112-G112)/G112,"")</f>
        <v/>
      </c>
      <c r="P112" s="13">
        <f>K112-H112</f>
        <v/>
      </c>
    </row>
    <row r="113">
      <c r="A113" s="2" t="n">
        <v>109</v>
      </c>
      <c r="B113" s="2" t="inlineStr">
        <is>
          <t>R350-0128</t>
        </is>
      </c>
      <c r="C113" s="2" t="inlineStr">
        <is>
          <t>Laland</t>
        </is>
      </c>
      <c r="D113" s="2" t="inlineStr">
        <is>
          <t>Laland</t>
        </is>
      </c>
      <c r="E113" s="2" t="inlineStr">
        <is>
          <t>Exact name match (Pass 1) via canonical</t>
        </is>
      </c>
      <c r="F113" s="4" t="n">
        <v>172101968</v>
      </c>
      <c r="G113" s="4" t="n">
        <v>1210826692</v>
      </c>
      <c r="H113" s="4" t="n">
        <v>74869903</v>
      </c>
      <c r="I113" s="4" t="n">
        <v>152498071</v>
      </c>
      <c r="J113" s="4" t="n">
        <v>1218747594</v>
      </c>
      <c r="K113" s="4" t="n">
        <v>5000</v>
      </c>
      <c r="L113" s="5">
        <f>I113-F113</f>
        <v/>
      </c>
      <c r="M113" s="6">
        <f>IFERROR((I113-F113)/F113,"")</f>
        <v/>
      </c>
      <c r="N113" s="7">
        <f>J113-G113</f>
        <v/>
      </c>
      <c r="O113" s="8">
        <f>IFERROR((J113-G113)/G113,"")</f>
        <v/>
      </c>
      <c r="P113" s="5">
        <f>K113-H113</f>
        <v/>
      </c>
    </row>
    <row r="114">
      <c r="A114" s="9" t="n">
        <v>110</v>
      </c>
      <c r="B114" s="9" t="inlineStr">
        <is>
          <t>R350-0258</t>
        </is>
      </c>
      <c r="C114" s="9" t="inlineStr">
        <is>
          <t>UNITY</t>
        </is>
      </c>
      <c r="D114" s="9" t="inlineStr">
        <is>
          <t>UNITY</t>
        </is>
      </c>
      <c r="E114" s="9" t="inlineStr">
        <is>
          <t>Exact name match (Pass 1) via canonical</t>
        </is>
      </c>
      <c r="F114" s="10" t="n">
        <v>166411888</v>
      </c>
      <c r="G114" s="10" t="n">
        <v>2326373033</v>
      </c>
      <c r="H114" s="10" t="n">
        <v>825760</v>
      </c>
      <c r="I114" s="10" t="n">
        <v>172025709</v>
      </c>
      <c r="J114" s="10" t="n">
        <v>2495288747</v>
      </c>
      <c r="K114" s="10" t="n">
        <v>0</v>
      </c>
      <c r="L114" s="13">
        <f>I114-F114</f>
        <v/>
      </c>
      <c r="M114" s="16">
        <f>IFERROR((I114-F114)/F114,"")</f>
        <v/>
      </c>
      <c r="N114" s="13">
        <f>J114-G114</f>
        <v/>
      </c>
      <c r="O114" s="14">
        <f>IFERROR((J114-G114)/G114,"")</f>
        <v/>
      </c>
      <c r="P114" s="11">
        <f>K114-H114</f>
        <v/>
      </c>
    </row>
    <row r="115">
      <c r="A115" s="2" t="n">
        <v>111</v>
      </c>
      <c r="B115" s="2" t="inlineStr">
        <is>
          <t>R350-0123</t>
        </is>
      </c>
      <c r="C115" s="2" t="inlineStr">
        <is>
          <t>Doc7Ragnar</t>
        </is>
      </c>
      <c r="D115" s="2" t="inlineStr">
        <is>
          <t>Doc7Ragnar</t>
        </is>
      </c>
      <c r="E115" s="2" t="inlineStr">
        <is>
          <t>Exact name match (Pass 1) via canonical</t>
        </is>
      </c>
      <c r="F115" s="4" t="n">
        <v>171549030</v>
      </c>
      <c r="G115" s="4" t="n">
        <v>940798819</v>
      </c>
      <c r="H115" s="4" t="n">
        <v>5988100</v>
      </c>
      <c r="I115" s="4" t="n">
        <v>141180397</v>
      </c>
      <c r="J115" s="4" t="n">
        <v>1031703025</v>
      </c>
      <c r="K115" s="4" t="n">
        <v>0</v>
      </c>
      <c r="L115" s="5">
        <f>I115-F115</f>
        <v/>
      </c>
      <c r="M115" s="6">
        <f>IFERROR((I115-F115)/F115,"")</f>
        <v/>
      </c>
      <c r="N115" s="7">
        <f>J115-G115</f>
        <v/>
      </c>
      <c r="O115" s="8">
        <f>IFERROR((J115-G115)/G115,"")</f>
        <v/>
      </c>
      <c r="P115" s="5">
        <f>K115-H115</f>
        <v/>
      </c>
    </row>
    <row r="116">
      <c r="A116" s="9" t="n">
        <v>112</v>
      </c>
      <c r="B116" s="9" t="inlineStr">
        <is>
          <t>R350-0122</t>
        </is>
      </c>
      <c r="C116" s="9" t="inlineStr">
        <is>
          <t>54oLeNkA54</t>
        </is>
      </c>
      <c r="D116" s="9" t="inlineStr">
        <is>
          <t>54oLeNkA54</t>
        </is>
      </c>
      <c r="E116" s="9" t="inlineStr">
        <is>
          <t>Exact name match (Pass 1) via canonical</t>
        </is>
      </c>
      <c r="F116" s="10" t="n">
        <v>170758728</v>
      </c>
      <c r="G116" s="10" t="n">
        <v>1089587132</v>
      </c>
      <c r="H116" s="10" t="n">
        <v>1115909</v>
      </c>
      <c r="I116" s="10" t="n">
        <v>154922685</v>
      </c>
      <c r="J116" s="10" t="n">
        <v>1110094315</v>
      </c>
      <c r="K116" s="10" t="n">
        <v>2057068</v>
      </c>
      <c r="L116" s="11">
        <f>I116-F116</f>
        <v/>
      </c>
      <c r="M116" s="12">
        <f>IFERROR((I116-F116)/F116,"")</f>
        <v/>
      </c>
      <c r="N116" s="13">
        <f>J116-G116</f>
        <v/>
      </c>
      <c r="O116" s="14">
        <f>IFERROR((J116-G116)/G116,"")</f>
        <v/>
      </c>
      <c r="P116" s="13">
        <f>K116-H116</f>
        <v/>
      </c>
    </row>
    <row r="117">
      <c r="A117" s="2" t="n">
        <v>113</v>
      </c>
      <c r="B117" s="2" t="inlineStr">
        <is>
          <t>R350-0145</t>
        </is>
      </c>
      <c r="C117" s="2" t="inlineStr">
        <is>
          <t>Griffin</t>
        </is>
      </c>
      <c r="D117" s="2" t="inlineStr">
        <is>
          <t>Griffin</t>
        </is>
      </c>
      <c r="E117" s="2" t="inlineStr">
        <is>
          <t>Exact name match (Pass 1) via alias screen name "Griffin"</t>
        </is>
      </c>
      <c r="F117" s="4" t="n">
        <v>168017164</v>
      </c>
      <c r="G117" s="4" t="n">
        <v>3021631182</v>
      </c>
      <c r="H117" s="4" t="n">
        <v>795100</v>
      </c>
      <c r="I117" s="4" t="n">
        <v>170710346</v>
      </c>
      <c r="J117" s="4" t="n">
        <v>3070911698</v>
      </c>
      <c r="K117" s="4" t="n">
        <v>1380700</v>
      </c>
      <c r="L117" s="7">
        <f>I117-F117</f>
        <v/>
      </c>
      <c r="M117" s="15">
        <f>IFERROR((I117-F117)/F117,"")</f>
        <v/>
      </c>
      <c r="N117" s="7">
        <f>J117-G117</f>
        <v/>
      </c>
      <c r="O117" s="8">
        <f>IFERROR((J117-G117)/G117,"")</f>
        <v/>
      </c>
      <c r="P117" s="7">
        <f>K117-H117</f>
        <v/>
      </c>
    </row>
    <row r="118">
      <c r="A118" s="9" t="n">
        <v>114</v>
      </c>
      <c r="B118" s="9" t="inlineStr">
        <is>
          <t>R350-0131</t>
        </is>
      </c>
      <c r="C118" s="9" t="inlineStr">
        <is>
          <t>Viddar160</t>
        </is>
      </c>
      <c r="D118" s="9" t="inlineStr">
        <is>
          <t>Viddar160</t>
        </is>
      </c>
      <c r="E118" s="9" t="inlineStr">
        <is>
          <t>Exact name match (Pass 1) via canonical</t>
        </is>
      </c>
      <c r="F118" s="10" t="n">
        <v>165286933</v>
      </c>
      <c r="G118" s="10" t="n">
        <v>597812256</v>
      </c>
      <c r="H118" s="10" t="n">
        <v>57433148</v>
      </c>
      <c r="I118" s="10" t="n">
        <v>169617178</v>
      </c>
      <c r="J118" s="10" t="n">
        <v>644028572</v>
      </c>
      <c r="K118" s="10" t="n">
        <v>554700</v>
      </c>
      <c r="L118" s="13">
        <f>I118-F118</f>
        <v/>
      </c>
      <c r="M118" s="16">
        <f>IFERROR((I118-F118)/F118,"")</f>
        <v/>
      </c>
      <c r="N118" s="13">
        <f>J118-G118</f>
        <v/>
      </c>
      <c r="O118" s="14">
        <f>IFERROR((J118-G118)/G118,"")</f>
        <v/>
      </c>
      <c r="P118" s="11">
        <f>K118-H118</f>
        <v/>
      </c>
    </row>
    <row r="119">
      <c r="A119" s="2" t="n">
        <v>115</v>
      </c>
      <c r="B119" s="2" t="inlineStr">
        <is>
          <t>R350-0159</t>
        </is>
      </c>
      <c r="C119" s="2" t="inlineStr">
        <is>
          <t>KillaT</t>
        </is>
      </c>
      <c r="D119" s="2" t="inlineStr">
        <is>
          <t>KillaT</t>
        </is>
      </c>
      <c r="E119" s="2" t="inlineStr">
        <is>
          <t>Exact name match (Pass 1) via canonical</t>
        </is>
      </c>
      <c r="F119" s="4" t="n">
        <v>166414122</v>
      </c>
      <c r="G119" s="4" t="n">
        <v>7155710141</v>
      </c>
      <c r="H119" s="4" t="n">
        <v>1259166</v>
      </c>
      <c r="I119" s="4" t="n">
        <v>169496594</v>
      </c>
      <c r="J119" s="4" t="n">
        <v>7629182587</v>
      </c>
      <c r="K119" s="4" t="n">
        <v>442200</v>
      </c>
      <c r="L119" s="7">
        <f>I119-F119</f>
        <v/>
      </c>
      <c r="M119" s="15">
        <f>IFERROR((I119-F119)/F119,"")</f>
        <v/>
      </c>
      <c r="N119" s="7">
        <f>J119-G119</f>
        <v/>
      </c>
      <c r="O119" s="8">
        <f>IFERROR((J119-G119)/G119,"")</f>
        <v/>
      </c>
      <c r="P119" s="5">
        <f>K119-H119</f>
        <v/>
      </c>
    </row>
    <row r="120">
      <c r="A120" s="9" t="n">
        <v>116</v>
      </c>
      <c r="B120" s="9" t="inlineStr">
        <is>
          <t>R350-0148</t>
        </is>
      </c>
      <c r="C120" s="9" t="inlineStr">
        <is>
          <t>nephew</t>
        </is>
      </c>
      <c r="D120" s="9" t="inlineStr">
        <is>
          <t>nephew</t>
        </is>
      </c>
      <c r="E120" s="9" t="inlineStr">
        <is>
          <t>Exact name match (Pass 1) via canonical</t>
        </is>
      </c>
      <c r="F120" s="10" t="n">
        <v>169220669</v>
      </c>
      <c r="G120" s="10" t="n">
        <v>3022950366</v>
      </c>
      <c r="H120" s="10" t="n">
        <v>13881765</v>
      </c>
      <c r="I120" s="10" t="n">
        <v>162609660</v>
      </c>
      <c r="J120" s="10" t="n">
        <v>3087320232</v>
      </c>
      <c r="K120" s="10" t="n">
        <v>14741965</v>
      </c>
      <c r="L120" s="11">
        <f>I120-F120</f>
        <v/>
      </c>
      <c r="M120" s="12">
        <f>IFERROR((I120-F120)/F120,"")</f>
        <v/>
      </c>
      <c r="N120" s="13">
        <f>J120-G120</f>
        <v/>
      </c>
      <c r="O120" s="14">
        <f>IFERROR((J120-G120)/G120,"")</f>
        <v/>
      </c>
      <c r="P120" s="13">
        <f>K120-H120</f>
        <v/>
      </c>
    </row>
    <row r="121">
      <c r="A121" s="2" t="n">
        <v>117</v>
      </c>
      <c r="B121" s="2" t="inlineStr">
        <is>
          <t>R350-0076</t>
        </is>
      </c>
      <c r="C121" s="2" t="inlineStr">
        <is>
          <t>peacefall</t>
        </is>
      </c>
      <c r="D121" s="2" t="inlineStr">
        <is>
          <t>peacefall</t>
        </is>
      </c>
      <c r="E121" s="2" t="inlineStr">
        <is>
          <t>Exact name match (Pass 1) via canonical</t>
        </is>
      </c>
      <c r="F121" s="4" t="n">
        <v>161446686</v>
      </c>
      <c r="G121" s="4" t="n">
        <v>3721199266</v>
      </c>
      <c r="H121" s="4" t="n">
        <v>4917400</v>
      </c>
      <c r="I121" s="4" t="n">
        <v>169099266</v>
      </c>
      <c r="J121" s="4" t="n">
        <v>3843809811</v>
      </c>
      <c r="K121" s="4" t="n">
        <v>433500</v>
      </c>
      <c r="L121" s="7">
        <f>I121-F121</f>
        <v/>
      </c>
      <c r="M121" s="15">
        <f>IFERROR((I121-F121)/F121,"")</f>
        <v/>
      </c>
      <c r="N121" s="7">
        <f>J121-G121</f>
        <v/>
      </c>
      <c r="O121" s="8">
        <f>IFERROR((J121-G121)/G121,"")</f>
        <v/>
      </c>
      <c r="P121" s="5">
        <f>K121-H121</f>
        <v/>
      </c>
    </row>
    <row r="122">
      <c r="A122" s="9" t="n">
        <v>118</v>
      </c>
      <c r="B122" s="9" t="inlineStr">
        <is>
          <t>R350-0259</t>
        </is>
      </c>
      <c r="C122" s="9" t="inlineStr">
        <is>
          <t>Fride</t>
        </is>
      </c>
      <c r="D122" s="9" t="inlineStr">
        <is>
          <t>Fride</t>
        </is>
      </c>
      <c r="E122" s="9" t="inlineStr">
        <is>
          <t>Exact name match (Pass 1) via canonical</t>
        </is>
      </c>
      <c r="F122" s="10" t="n">
        <v>168065651</v>
      </c>
      <c r="G122" s="10" t="n">
        <v>3435749793</v>
      </c>
      <c r="H122" s="10" t="n">
        <v>1785140</v>
      </c>
      <c r="I122" s="10" t="n">
        <v>169088635</v>
      </c>
      <c r="J122" s="10" t="n">
        <v>3584918017</v>
      </c>
      <c r="K122" s="10" t="n">
        <v>38600</v>
      </c>
      <c r="L122" s="13">
        <f>I122-F122</f>
        <v/>
      </c>
      <c r="M122" s="16">
        <f>IFERROR((I122-F122)/F122,"")</f>
        <v/>
      </c>
      <c r="N122" s="13">
        <f>J122-G122</f>
        <v/>
      </c>
      <c r="O122" s="14">
        <f>IFERROR((J122-G122)/G122,"")</f>
        <v/>
      </c>
      <c r="P122" s="11">
        <f>K122-H122</f>
        <v/>
      </c>
    </row>
    <row r="123">
      <c r="A123" s="2" t="n">
        <v>119</v>
      </c>
      <c r="B123" s="2" t="inlineStr">
        <is>
          <t>R350-0127</t>
        </is>
      </c>
      <c r="C123" s="2" t="inlineStr">
        <is>
          <t>RemarkNess</t>
        </is>
      </c>
      <c r="D123" s="2" t="inlineStr">
        <is>
          <t>RemarkNess</t>
        </is>
      </c>
      <c r="E123" s="2" t="inlineStr">
        <is>
          <t>Exact name match (Pass 1) via canonical</t>
        </is>
      </c>
      <c r="F123" s="4" t="n">
        <v>164658822</v>
      </c>
      <c r="G123" s="4" t="n">
        <v>1551991452</v>
      </c>
      <c r="H123" s="4" t="n">
        <v>27090159</v>
      </c>
      <c r="I123" s="4" t="n">
        <v>167821552</v>
      </c>
      <c r="J123" s="4" t="n">
        <v>1587611621</v>
      </c>
      <c r="K123" s="4" t="n">
        <v>27832659</v>
      </c>
      <c r="L123" s="7">
        <f>I123-F123</f>
        <v/>
      </c>
      <c r="M123" s="15">
        <f>IFERROR((I123-F123)/F123,"")</f>
        <v/>
      </c>
      <c r="N123" s="7">
        <f>J123-G123</f>
        <v/>
      </c>
      <c r="O123" s="8">
        <f>IFERROR((J123-G123)/G123,"")</f>
        <v/>
      </c>
      <c r="P123" s="7">
        <f>K123-H123</f>
        <v/>
      </c>
    </row>
    <row r="124">
      <c r="A124" s="9" t="n">
        <v>120</v>
      </c>
      <c r="B124" s="9" t="inlineStr">
        <is>
          <t>R350-0119</t>
        </is>
      </c>
      <c r="C124" s="9" t="inlineStr">
        <is>
          <t>Quang Vi</t>
        </is>
      </c>
      <c r="D124" s="9" t="inlineStr">
        <is>
          <t>Quang Vi</t>
        </is>
      </c>
      <c r="E124" s="9" t="inlineStr">
        <is>
          <t>Exact name match (Pass 1) via canonical</t>
        </is>
      </c>
      <c r="F124" s="10" t="n">
        <v>167171217</v>
      </c>
      <c r="G124" s="10" t="n">
        <v>1751362887</v>
      </c>
      <c r="H124" s="10" t="n">
        <v>4906031</v>
      </c>
      <c r="I124" s="10" t="n">
        <v>163811121</v>
      </c>
      <c r="J124" s="10" t="n">
        <v>1782510928</v>
      </c>
      <c r="K124" s="10" t="n">
        <v>139200</v>
      </c>
      <c r="L124" s="11">
        <f>I124-F124</f>
        <v/>
      </c>
      <c r="M124" s="12">
        <f>IFERROR((I124-F124)/F124,"")</f>
        <v/>
      </c>
      <c r="N124" s="13">
        <f>J124-G124</f>
        <v/>
      </c>
      <c r="O124" s="14">
        <f>IFERROR((J124-G124)/G124,"")</f>
        <v/>
      </c>
      <c r="P124" s="11">
        <f>K124-H124</f>
        <v/>
      </c>
    </row>
    <row r="125">
      <c r="A125" s="2" t="n">
        <v>121</v>
      </c>
      <c r="B125" s="2" t="inlineStr">
        <is>
          <t>R350-0117</t>
        </is>
      </c>
      <c r="C125" s="2" t="inlineStr">
        <is>
          <t>Herooo</t>
        </is>
      </c>
      <c r="D125" s="2" t="inlineStr">
        <is>
          <t>Herooo</t>
        </is>
      </c>
      <c r="E125" s="2" t="inlineStr">
        <is>
          <t>Exact name match (Pass 1) via canonical</t>
        </is>
      </c>
      <c r="F125" s="4" t="n">
        <v>166907391</v>
      </c>
      <c r="G125" s="4" t="n">
        <v>1317735280</v>
      </c>
      <c r="H125" s="4" t="n">
        <v>18343255</v>
      </c>
      <c r="I125" s="4" t="n">
        <v>166466067</v>
      </c>
      <c r="J125" s="4" t="n">
        <v>1342739974</v>
      </c>
      <c r="K125" s="4" t="n">
        <v>18977105</v>
      </c>
      <c r="L125" s="5">
        <f>I125-F125</f>
        <v/>
      </c>
      <c r="M125" s="6">
        <f>IFERROR((I125-F125)/F125,"")</f>
        <v/>
      </c>
      <c r="N125" s="7">
        <f>J125-G125</f>
        <v/>
      </c>
      <c r="O125" s="8">
        <f>IFERROR((J125-G125)/G125,"")</f>
        <v/>
      </c>
      <c r="P125" s="7">
        <f>K125-H125</f>
        <v/>
      </c>
    </row>
    <row r="126">
      <c r="A126" s="9" t="n">
        <v>122</v>
      </c>
      <c r="B126" s="9" t="inlineStr">
        <is>
          <t>R350-0057</t>
        </is>
      </c>
      <c r="C126" s="9" t="inlineStr">
        <is>
          <t>So1o</t>
        </is>
      </c>
      <c r="D126" s="9" t="inlineStr">
        <is>
          <t>So1o</t>
        </is>
      </c>
      <c r="E126" s="9" t="inlineStr">
        <is>
          <t>Exact name match (Pass 1) via canonical</t>
        </is>
      </c>
      <c r="F126" s="10" t="n">
        <v>166830947</v>
      </c>
      <c r="G126" s="10" t="n">
        <v>13455181983</v>
      </c>
      <c r="H126" s="10" t="n">
        <v>847322</v>
      </c>
      <c r="I126" s="10" t="n">
        <v>165159714</v>
      </c>
      <c r="J126" s="10" t="n">
        <v>13918401728</v>
      </c>
      <c r="K126" s="10" t="n">
        <v>0</v>
      </c>
      <c r="L126" s="11">
        <f>I126-F126</f>
        <v/>
      </c>
      <c r="M126" s="12">
        <f>IFERROR((I126-F126)/F126,"")</f>
        <v/>
      </c>
      <c r="N126" s="13">
        <f>J126-G126</f>
        <v/>
      </c>
      <c r="O126" s="14">
        <f>IFERROR((J126-G126)/G126,"")</f>
        <v/>
      </c>
      <c r="P126" s="11">
        <f>K126-H126</f>
        <v/>
      </c>
    </row>
    <row r="127">
      <c r="A127" s="2" t="n">
        <v>123</v>
      </c>
      <c r="B127" s="2" t="inlineStr">
        <is>
          <t>R350-0153</t>
        </is>
      </c>
      <c r="C127" s="2" t="inlineStr">
        <is>
          <t>Leoo</t>
        </is>
      </c>
      <c r="D127" s="2" t="inlineStr">
        <is>
          <t>Leoo</t>
        </is>
      </c>
      <c r="E127" s="2" t="inlineStr">
        <is>
          <t>Exact name match (Pass 1) via canonical</t>
        </is>
      </c>
      <c r="F127" s="4" t="n">
        <v>166561925</v>
      </c>
      <c r="G127" s="4" t="n">
        <v>3362285101</v>
      </c>
      <c r="H127" s="4" t="n">
        <v>6656302</v>
      </c>
      <c r="I127" s="4" t="n">
        <v>159974719</v>
      </c>
      <c r="J127" s="4" t="n">
        <v>3385339662</v>
      </c>
      <c r="K127" s="4" t="n">
        <v>7237209</v>
      </c>
      <c r="L127" s="5">
        <f>I127-F127</f>
        <v/>
      </c>
      <c r="M127" s="6">
        <f>IFERROR((I127-F127)/F127,"")</f>
        <v/>
      </c>
      <c r="N127" s="7">
        <f>J127-G127</f>
        <v/>
      </c>
      <c r="O127" s="8">
        <f>IFERROR((J127-G127)/G127,"")</f>
        <v/>
      </c>
      <c r="P127" s="7">
        <f>K127-H127</f>
        <v/>
      </c>
    </row>
    <row r="128">
      <c r="A128" s="9" t="n">
        <v>124</v>
      </c>
      <c r="B128" s="9" t="inlineStr">
        <is>
          <t>R350-0091</t>
        </is>
      </c>
      <c r="C128" s="9" t="inlineStr">
        <is>
          <t>Peace</t>
        </is>
      </c>
      <c r="D128" s="9" t="inlineStr">
        <is>
          <t>Peace</t>
        </is>
      </c>
      <c r="E128" s="9" t="inlineStr">
        <is>
          <t>Exact name match (Pass 1) via canonical</t>
        </is>
      </c>
      <c r="F128" s="10" t="n">
        <v>165997029</v>
      </c>
      <c r="G128" s="10" t="n">
        <v>4140903974</v>
      </c>
      <c r="H128" s="10" t="n">
        <v>106194976</v>
      </c>
      <c r="I128" s="10" t="n">
        <v>165095551</v>
      </c>
      <c r="J128" s="10" t="n">
        <v>4214345788</v>
      </c>
      <c r="K128" s="10" t="n">
        <v>204600</v>
      </c>
      <c r="L128" s="11">
        <f>I128-F128</f>
        <v/>
      </c>
      <c r="M128" s="12">
        <f>IFERROR((I128-F128)/F128,"")</f>
        <v/>
      </c>
      <c r="N128" s="13">
        <f>J128-G128</f>
        <v/>
      </c>
      <c r="O128" s="14">
        <f>IFERROR((J128-G128)/G128,"")</f>
        <v/>
      </c>
      <c r="P128" s="11">
        <f>K128-H128</f>
        <v/>
      </c>
    </row>
    <row r="129">
      <c r="A129" s="2" t="n">
        <v>125</v>
      </c>
      <c r="B129" s="2" t="inlineStr">
        <is>
          <t>R350-0095</t>
        </is>
      </c>
      <c r="C129" s="2" t="inlineStr">
        <is>
          <t>AMAK</t>
        </is>
      </c>
      <c r="D129" s="2" t="inlineStr">
        <is>
          <t>AMAK</t>
        </is>
      </c>
      <c r="E129" s="2" t="inlineStr">
        <is>
          <t>Exact name match (Pass 1) via canonical</t>
        </is>
      </c>
      <c r="F129" s="4" t="n">
        <v>165458638</v>
      </c>
      <c r="G129" s="4" t="n">
        <v>4877205895</v>
      </c>
      <c r="H129" s="4" t="n">
        <v>990574</v>
      </c>
      <c r="I129" s="4" t="n">
        <v>158349943</v>
      </c>
      <c r="J129" s="4" t="n">
        <v>5095936028</v>
      </c>
      <c r="K129" s="4" t="n">
        <v>474500</v>
      </c>
      <c r="L129" s="5">
        <f>I129-F129</f>
        <v/>
      </c>
      <c r="M129" s="6">
        <f>IFERROR((I129-F129)/F129,"")</f>
        <v/>
      </c>
      <c r="N129" s="7">
        <f>J129-G129</f>
        <v/>
      </c>
      <c r="O129" s="8">
        <f>IFERROR((J129-G129)/G129,"")</f>
        <v/>
      </c>
      <c r="P129" s="5">
        <f>K129-H129</f>
        <v/>
      </c>
    </row>
    <row r="130">
      <c r="A130" s="9" t="n">
        <v>126</v>
      </c>
      <c r="B130" s="9" t="inlineStr">
        <is>
          <t>R350-0107</t>
        </is>
      </c>
      <c r="C130" s="9" t="inlineStr">
        <is>
          <t>SPUDIman</t>
        </is>
      </c>
      <c r="D130" s="9" t="inlineStr">
        <is>
          <t>SPUDIman</t>
        </is>
      </c>
      <c r="E130" s="9" t="inlineStr">
        <is>
          <t>Exact name match (Pass 1) via canonical</t>
        </is>
      </c>
      <c r="F130" s="10" t="n">
        <v>165241528</v>
      </c>
      <c r="G130" s="10" t="n">
        <v>984626000</v>
      </c>
      <c r="H130" s="10" t="n">
        <v>27747209</v>
      </c>
      <c r="I130" s="10" t="n">
        <v>156329295</v>
      </c>
      <c r="J130" s="10" t="n">
        <v>991218973</v>
      </c>
      <c r="K130" s="10" t="n">
        <v>28261709</v>
      </c>
      <c r="L130" s="11">
        <f>I130-F130</f>
        <v/>
      </c>
      <c r="M130" s="12">
        <f>IFERROR((I130-F130)/F130,"")</f>
        <v/>
      </c>
      <c r="N130" s="13">
        <f>J130-G130</f>
        <v/>
      </c>
      <c r="O130" s="14">
        <f>IFERROR((J130-G130)/G130,"")</f>
        <v/>
      </c>
      <c r="P130" s="13">
        <f>K130-H130</f>
        <v/>
      </c>
    </row>
    <row r="131">
      <c r="A131" s="2" t="n">
        <v>127</v>
      </c>
      <c r="B131" s="2" t="inlineStr">
        <is>
          <t>R350-0069</t>
        </is>
      </c>
      <c r="C131" s="2" t="inlineStr">
        <is>
          <t>Còi</t>
        </is>
      </c>
      <c r="D131" s="2" t="inlineStr">
        <is>
          <t>Còi</t>
        </is>
      </c>
      <c r="E131" s="2" t="inlineStr">
        <is>
          <t>Exact name match (Pass 1) via canonical</t>
        </is>
      </c>
      <c r="F131" s="4" t="n">
        <v>164838839</v>
      </c>
      <c r="G131" s="4" t="n">
        <v>3009941087</v>
      </c>
      <c r="H131" s="4" t="n">
        <v>9383139</v>
      </c>
      <c r="I131" s="4" t="n">
        <v>161151834</v>
      </c>
      <c r="J131" s="4" t="n">
        <v>3286773065</v>
      </c>
      <c r="K131" s="4" t="n">
        <v>406700</v>
      </c>
      <c r="L131" s="5">
        <f>I131-F131</f>
        <v/>
      </c>
      <c r="M131" s="6">
        <f>IFERROR((I131-F131)/F131,"")</f>
        <v/>
      </c>
      <c r="N131" s="7">
        <f>J131-G131</f>
        <v/>
      </c>
      <c r="O131" s="8">
        <f>IFERROR((J131-G131)/G131,"")</f>
        <v/>
      </c>
      <c r="P131" s="5">
        <f>K131-H131</f>
        <v/>
      </c>
    </row>
    <row r="132">
      <c r="A132" s="9" t="n">
        <v>128</v>
      </c>
      <c r="B132" s="9" t="inlineStr">
        <is>
          <t>R350-0082</t>
        </is>
      </c>
      <c r="C132" s="9" t="inlineStr">
        <is>
          <t>Nastenblsh</t>
        </is>
      </c>
      <c r="D132" s="9" t="inlineStr">
        <is>
          <t>Nastenblsh</t>
        </is>
      </c>
      <c r="E132" s="9" t="inlineStr">
        <is>
          <t>Exact name match (Pass 1) via canonical</t>
        </is>
      </c>
      <c r="F132" s="10" t="n">
        <v>164720694</v>
      </c>
      <c r="G132" s="10" t="n">
        <v>5459537331</v>
      </c>
      <c r="H132" s="10" t="n">
        <v>45295929</v>
      </c>
      <c r="I132" s="10" t="n">
        <v>159528816</v>
      </c>
      <c r="J132" s="10" t="n">
        <v>5620618117</v>
      </c>
      <c r="K132" s="10" t="n">
        <v>46117038</v>
      </c>
      <c r="L132" s="11">
        <f>I132-F132</f>
        <v/>
      </c>
      <c r="M132" s="12">
        <f>IFERROR((I132-F132)/F132,"")</f>
        <v/>
      </c>
      <c r="N132" s="13">
        <f>J132-G132</f>
        <v/>
      </c>
      <c r="O132" s="14">
        <f>IFERROR((J132-G132)/G132,"")</f>
        <v/>
      </c>
      <c r="P132" s="13">
        <f>K132-H132</f>
        <v/>
      </c>
    </row>
    <row r="133">
      <c r="A133" s="2" t="n">
        <v>129</v>
      </c>
      <c r="B133" s="2" t="inlineStr">
        <is>
          <t>R350-0111</t>
        </is>
      </c>
      <c r="C133" s="2" t="inlineStr">
        <is>
          <t>llllllllll</t>
        </is>
      </c>
      <c r="D133" s="2" t="inlineStr">
        <is>
          <t>ДаНуНа</t>
        </is>
      </c>
      <c r="E133" s="2" t="inlineStr">
        <is>
          <t>Exact name match (Pass 1) via canonical</t>
        </is>
      </c>
      <c r="F133" s="4" t="n">
        <v>164679507</v>
      </c>
      <c r="G133" s="4" t="n">
        <v>1911868867</v>
      </c>
      <c r="H133" s="4" t="n">
        <v>35829967</v>
      </c>
      <c r="I133" s="4" t="n">
        <v>157267661</v>
      </c>
      <c r="J133" s="4" t="n">
        <v>1984621919</v>
      </c>
      <c r="K133" s="4" t="n">
        <v>0</v>
      </c>
      <c r="L133" s="5">
        <f>I133-F133</f>
        <v/>
      </c>
      <c r="M133" s="6">
        <f>IFERROR((I133-F133)/F133,"")</f>
        <v/>
      </c>
      <c r="N133" s="7">
        <f>J133-G133</f>
        <v/>
      </c>
      <c r="O133" s="8">
        <f>IFERROR((J133-G133)/G133,"")</f>
        <v/>
      </c>
      <c r="P133" s="5">
        <f>K133-H133</f>
        <v/>
      </c>
    </row>
    <row r="134">
      <c r="A134" s="9" t="n">
        <v>130</v>
      </c>
      <c r="B134" s="9" t="inlineStr">
        <is>
          <t>R350-0084</t>
        </is>
      </c>
      <c r="C134" s="9" t="inlineStr">
        <is>
          <t>UHTRED BR</t>
        </is>
      </c>
      <c r="D134" s="9" t="inlineStr">
        <is>
          <t>UHTRED BR</t>
        </is>
      </c>
      <c r="E134" s="9" t="inlineStr">
        <is>
          <t>Exact name match (Pass 1) via canonical</t>
        </is>
      </c>
      <c r="F134" s="10" t="n">
        <v>164382454</v>
      </c>
      <c r="G134" s="10" t="n">
        <v>3273018942</v>
      </c>
      <c r="H134" s="10" t="n">
        <v>20229782</v>
      </c>
      <c r="I134" s="10" t="n">
        <v>163100852</v>
      </c>
      <c r="J134" s="10" t="n">
        <v>3416850014</v>
      </c>
      <c r="K134" s="10" t="n">
        <v>362400</v>
      </c>
      <c r="L134" s="11">
        <f>I134-F134</f>
        <v/>
      </c>
      <c r="M134" s="12">
        <f>IFERROR((I134-F134)/F134,"")</f>
        <v/>
      </c>
      <c r="N134" s="13">
        <f>J134-G134</f>
        <v/>
      </c>
      <c r="O134" s="14">
        <f>IFERROR((J134-G134)/G134,"")</f>
        <v/>
      </c>
      <c r="P134" s="11">
        <f>K134-H134</f>
        <v/>
      </c>
    </row>
    <row r="135">
      <c r="A135" s="2" t="n">
        <v>131</v>
      </c>
      <c r="B135" s="2" t="inlineStr">
        <is>
          <t>R350-0116</t>
        </is>
      </c>
      <c r="C135" s="2" t="inlineStr">
        <is>
          <t>Tinuviel</t>
        </is>
      </c>
      <c r="D135" s="2" t="inlineStr">
        <is>
          <t>Tinuviel</t>
        </is>
      </c>
      <c r="E135" s="2" t="inlineStr">
        <is>
          <t>Exact name match (Pass 1) via canonical</t>
        </is>
      </c>
      <c r="F135" s="4" t="n">
        <v>164168839</v>
      </c>
      <c r="G135" s="4" t="n">
        <v>1417118209</v>
      </c>
      <c r="H135" s="4" t="n">
        <v>103266436</v>
      </c>
      <c r="I135" s="4" t="n">
        <v>154601611</v>
      </c>
      <c r="J135" s="4" t="n">
        <v>1424187794</v>
      </c>
      <c r="K135" s="4" t="n">
        <v>103846042</v>
      </c>
      <c r="L135" s="5">
        <f>I135-F135</f>
        <v/>
      </c>
      <c r="M135" s="6">
        <f>IFERROR((I135-F135)/F135,"")</f>
        <v/>
      </c>
      <c r="N135" s="7">
        <f>J135-G135</f>
        <v/>
      </c>
      <c r="O135" s="8">
        <f>IFERROR((J135-G135)/G135,"")</f>
        <v/>
      </c>
      <c r="P135" s="7">
        <f>K135-H135</f>
        <v/>
      </c>
    </row>
    <row r="136">
      <c r="A136" s="9" t="n">
        <v>132</v>
      </c>
      <c r="B136" s="9" t="inlineStr">
        <is>
          <t>R350-0260</t>
        </is>
      </c>
      <c r="C136" s="9" t="inlineStr">
        <is>
          <t>FallenAngel</t>
        </is>
      </c>
      <c r="D136" s="9" t="inlineStr">
        <is>
          <t>FallenAngel</t>
        </is>
      </c>
      <c r="E136" s="9" t="inlineStr">
        <is>
          <t>Exact name match (Pass 1) via canonical</t>
        </is>
      </c>
      <c r="F136" s="10" t="n">
        <v>158938689</v>
      </c>
      <c r="G136" s="10" t="n">
        <v>4066958213</v>
      </c>
      <c r="H136" s="10" t="n">
        <v>14140346</v>
      </c>
      <c r="I136" s="10" t="n">
        <v>163712468</v>
      </c>
      <c r="J136" s="10" t="n">
        <v>4198452397</v>
      </c>
      <c r="K136" s="10" t="n">
        <v>51200</v>
      </c>
      <c r="L136" s="13">
        <f>I136-F136</f>
        <v/>
      </c>
      <c r="M136" s="16">
        <f>IFERROR((I136-F136)/F136,"")</f>
        <v/>
      </c>
      <c r="N136" s="13">
        <f>J136-G136</f>
        <v/>
      </c>
      <c r="O136" s="14">
        <f>IFERROR((J136-G136)/G136,"")</f>
        <v/>
      </c>
      <c r="P136" s="11">
        <f>K136-H136</f>
        <v/>
      </c>
    </row>
    <row r="137">
      <c r="A137" s="2" t="n">
        <v>133</v>
      </c>
      <c r="B137" s="2" t="inlineStr">
        <is>
          <t>R350-0112</t>
        </is>
      </c>
      <c r="C137" s="2" t="inlineStr">
        <is>
          <t>zklmn</t>
        </is>
      </c>
      <c r="D137" s="2" t="inlineStr">
        <is>
          <t>zklmn</t>
        </is>
      </c>
      <c r="E137" s="2" t="inlineStr">
        <is>
          <t>Exact name match (Pass 1) via canonical</t>
        </is>
      </c>
      <c r="F137" s="4" t="n">
        <v>163710186</v>
      </c>
      <c r="G137" s="4" t="n">
        <v>1714675120</v>
      </c>
      <c r="H137" s="4" t="n">
        <v>33245748</v>
      </c>
      <c r="I137" s="4" t="n">
        <v>159388334</v>
      </c>
      <c r="J137" s="4" t="n">
        <v>1728433176</v>
      </c>
      <c r="K137" s="4" t="n">
        <v>487500</v>
      </c>
      <c r="L137" s="5">
        <f>I137-F137</f>
        <v/>
      </c>
      <c r="M137" s="6">
        <f>IFERROR((I137-F137)/F137,"")</f>
        <v/>
      </c>
      <c r="N137" s="7">
        <f>J137-G137</f>
        <v/>
      </c>
      <c r="O137" s="8">
        <f>IFERROR((J137-G137)/G137,"")</f>
        <v/>
      </c>
      <c r="P137" s="5">
        <f>K137-H137</f>
        <v/>
      </c>
    </row>
    <row r="138">
      <c r="A138" s="9" t="n">
        <v>134</v>
      </c>
      <c r="B138" s="9" t="inlineStr">
        <is>
          <t>R350-0202</t>
        </is>
      </c>
      <c r="C138" s="9" t="inlineStr">
        <is>
          <t>EgoisT</t>
        </is>
      </c>
      <c r="D138" s="9" t="inlineStr">
        <is>
          <t>EgoisT</t>
        </is>
      </c>
      <c r="E138" s="9" t="inlineStr">
        <is>
          <t>Exact name match (Pass 1) via canonical</t>
        </is>
      </c>
      <c r="F138" s="10" t="n">
        <v>163126026</v>
      </c>
      <c r="G138" s="10" t="n">
        <v>1847713961</v>
      </c>
      <c r="H138" s="10" t="n">
        <v>24826531</v>
      </c>
      <c r="I138" s="10" t="n">
        <v>163351878</v>
      </c>
      <c r="J138" s="10" t="n">
        <v>1848772166</v>
      </c>
      <c r="K138" s="10" t="n">
        <v>25367031</v>
      </c>
      <c r="L138" s="13">
        <f>I138-F138</f>
        <v/>
      </c>
      <c r="M138" s="16">
        <f>IFERROR((I138-F138)/F138,"")</f>
        <v/>
      </c>
      <c r="N138" s="13">
        <f>J138-G138</f>
        <v/>
      </c>
      <c r="O138" s="14">
        <f>IFERROR((J138-G138)/G138,"")</f>
        <v/>
      </c>
      <c r="P138" s="13">
        <f>K138-H138</f>
        <v/>
      </c>
    </row>
    <row r="139">
      <c r="A139" s="2" t="n">
        <v>135</v>
      </c>
      <c r="B139" s="2" t="inlineStr">
        <is>
          <t>R350-0156</t>
        </is>
      </c>
      <c r="C139" s="2" t="inlineStr">
        <is>
          <t>TиapA</t>
        </is>
      </c>
      <c r="D139" s="2" t="inlineStr">
        <is>
          <t>ТиарА</t>
        </is>
      </c>
      <c r="E139" s="2" t="inlineStr">
        <is>
          <t>Exact name match (Pass 1) via canonical</t>
        </is>
      </c>
      <c r="F139" s="4" t="n">
        <v>162829082</v>
      </c>
      <c r="G139" s="4" t="n">
        <v>793017101</v>
      </c>
      <c r="H139" s="4" t="n">
        <v>9403152</v>
      </c>
      <c r="I139" s="4" t="n">
        <v>162389720</v>
      </c>
      <c r="J139" s="4" t="n">
        <v>796967334</v>
      </c>
      <c r="K139" s="4" t="n">
        <v>10041322</v>
      </c>
      <c r="L139" s="5">
        <f>I139-F139</f>
        <v/>
      </c>
      <c r="M139" s="6">
        <f>IFERROR((I139-F139)/F139,"")</f>
        <v/>
      </c>
      <c r="N139" s="7">
        <f>J139-G139</f>
        <v/>
      </c>
      <c r="O139" s="8">
        <f>IFERROR((J139-G139)/G139,"")</f>
        <v/>
      </c>
      <c r="P139" s="7">
        <f>K139-H139</f>
        <v/>
      </c>
    </row>
    <row r="140">
      <c r="A140" s="9" t="n">
        <v>136</v>
      </c>
      <c r="B140" s="9" t="inlineStr">
        <is>
          <t>R350-0099</t>
        </is>
      </c>
      <c r="C140" s="9" t="inlineStr">
        <is>
          <t>Peegee</t>
        </is>
      </c>
      <c r="D140" s="9" t="inlineStr">
        <is>
          <t>Peegee</t>
        </is>
      </c>
      <c r="E140" s="9" t="inlineStr">
        <is>
          <t>Exact name match (Pass 1) via canonical</t>
        </is>
      </c>
      <c r="F140" s="10" t="n">
        <v>162652575</v>
      </c>
      <c r="G140" s="10" t="n">
        <v>1841260606</v>
      </c>
      <c r="H140" s="10" t="n">
        <v>1198200</v>
      </c>
      <c r="I140" s="10" t="n">
        <v>161247587</v>
      </c>
      <c r="J140" s="10" t="n">
        <v>1863412134</v>
      </c>
      <c r="K140" s="10" t="n">
        <v>1957869</v>
      </c>
      <c r="L140" s="11">
        <f>I140-F140</f>
        <v/>
      </c>
      <c r="M140" s="12">
        <f>IFERROR((I140-F140)/F140,"")</f>
        <v/>
      </c>
      <c r="N140" s="13">
        <f>J140-G140</f>
        <v/>
      </c>
      <c r="O140" s="14">
        <f>IFERROR((J140-G140)/G140,"")</f>
        <v/>
      </c>
      <c r="P140" s="13">
        <f>K140-H140</f>
        <v/>
      </c>
    </row>
    <row r="141">
      <c r="A141" s="2" t="n">
        <v>137</v>
      </c>
      <c r="B141" s="2" t="inlineStr">
        <is>
          <t>R350-0165</t>
        </is>
      </c>
      <c r="C141" s="2" t="inlineStr">
        <is>
          <t>ioRi yaGami</t>
        </is>
      </c>
      <c r="D141" s="2" t="inlineStr">
        <is>
          <t>ioRi yaGami</t>
        </is>
      </c>
      <c r="E141" s="2" t="inlineStr">
        <is>
          <t>Exact name match (Pass 1) via canonical</t>
        </is>
      </c>
      <c r="F141" s="4" t="n">
        <v>161857108</v>
      </c>
      <c r="G141" s="4" t="n">
        <v>7205293505</v>
      </c>
      <c r="H141" s="4" t="n">
        <v>1646317</v>
      </c>
      <c r="I141" s="4" t="n">
        <v>162335907</v>
      </c>
      <c r="J141" s="4" t="n">
        <v>7317514640</v>
      </c>
      <c r="K141" s="4" t="n">
        <v>2417117</v>
      </c>
      <c r="L141" s="7">
        <f>I141-F141</f>
        <v/>
      </c>
      <c r="M141" s="15">
        <f>IFERROR((I141-F141)/F141,"")</f>
        <v/>
      </c>
      <c r="N141" s="7">
        <f>J141-G141</f>
        <v/>
      </c>
      <c r="O141" s="8">
        <f>IFERROR((J141-G141)/G141,"")</f>
        <v/>
      </c>
      <c r="P141" s="7">
        <f>K141-H141</f>
        <v/>
      </c>
    </row>
    <row r="142">
      <c r="A142" s="9" t="n">
        <v>138</v>
      </c>
      <c r="B142" s="9" t="inlineStr">
        <is>
          <t>R350-0141</t>
        </is>
      </c>
      <c r="C142" s="9" t="inlineStr">
        <is>
          <t>MarQ</t>
        </is>
      </c>
      <c r="D142" s="9" t="inlineStr">
        <is>
          <t>MarQ</t>
        </is>
      </c>
      <c r="E142" s="9" t="inlineStr">
        <is>
          <t>Exact name match (Pass 1) via canonical</t>
        </is>
      </c>
      <c r="F142" s="10" t="n">
        <v>154741951</v>
      </c>
      <c r="G142" s="10" t="n">
        <v>1457026800</v>
      </c>
      <c r="H142" s="10" t="n">
        <v>8060208</v>
      </c>
      <c r="I142" s="10" t="n">
        <v>162084917</v>
      </c>
      <c r="J142" s="10" t="n">
        <v>1459673074</v>
      </c>
      <c r="K142" s="10" t="n">
        <v>8793808</v>
      </c>
      <c r="L142" s="13">
        <f>I142-F142</f>
        <v/>
      </c>
      <c r="M142" s="16">
        <f>IFERROR((I142-F142)/F142,"")</f>
        <v/>
      </c>
      <c r="N142" s="13">
        <f>J142-G142</f>
        <v/>
      </c>
      <c r="O142" s="14">
        <f>IFERROR((J142-G142)/G142,"")</f>
        <v/>
      </c>
      <c r="P142" s="13">
        <f>K142-H142</f>
        <v/>
      </c>
    </row>
    <row r="143">
      <c r="A143" s="2" t="n">
        <v>139</v>
      </c>
      <c r="B143" s="2" t="inlineStr">
        <is>
          <t>R350-0114</t>
        </is>
      </c>
      <c r="C143" s="2" t="inlineStr">
        <is>
          <t>nirr</t>
        </is>
      </c>
      <c r="D143" s="2" t="inlineStr">
        <is>
          <t>nirr</t>
        </is>
      </c>
      <c r="E143" s="2" t="inlineStr">
        <is>
          <t>Exact name match (Pass 1) via canonical</t>
        </is>
      </c>
      <c r="F143" s="4" t="n">
        <v>161552644</v>
      </c>
      <c r="G143" s="4" t="n">
        <v>3337401284</v>
      </c>
      <c r="H143" s="4" t="n">
        <v>10043200</v>
      </c>
      <c r="I143" s="4" t="n">
        <v>156099252</v>
      </c>
      <c r="J143" s="4" t="n">
        <v>3704557883</v>
      </c>
      <c r="K143" s="4" t="n">
        <v>184500</v>
      </c>
      <c r="L143" s="5">
        <f>I143-F143</f>
        <v/>
      </c>
      <c r="M143" s="6">
        <f>IFERROR((I143-F143)/F143,"")</f>
        <v/>
      </c>
      <c r="N143" s="7">
        <f>J143-G143</f>
        <v/>
      </c>
      <c r="O143" s="8">
        <f>IFERROR((J143-G143)/G143,"")</f>
        <v/>
      </c>
      <c r="P143" s="5">
        <f>K143-H143</f>
        <v/>
      </c>
    </row>
    <row r="144">
      <c r="A144" s="9" t="n">
        <v>140</v>
      </c>
      <c r="B144" s="9" t="inlineStr">
        <is>
          <t>R350-0138</t>
        </is>
      </c>
      <c r="C144" s="9" t="inlineStr">
        <is>
          <t>Naineti</t>
        </is>
      </c>
      <c r="D144" s="9" t="inlineStr">
        <is>
          <t>Naineti</t>
        </is>
      </c>
      <c r="E144" s="9" t="inlineStr">
        <is>
          <t>Exact name match (Pass 1) via canonical</t>
        </is>
      </c>
      <c r="F144" s="10" t="n">
        <v>160098346</v>
      </c>
      <c r="G144" s="10" t="n">
        <v>1160465165</v>
      </c>
      <c r="H144" s="10" t="n">
        <v>106911799</v>
      </c>
      <c r="I144" s="10" t="n">
        <v>160383741</v>
      </c>
      <c r="J144" s="10" t="n">
        <v>1182598622</v>
      </c>
      <c r="K144" s="10" t="n">
        <v>63200</v>
      </c>
      <c r="L144" s="13">
        <f>I144-F144</f>
        <v/>
      </c>
      <c r="M144" s="16">
        <f>IFERROR((I144-F144)/F144,"")</f>
        <v/>
      </c>
      <c r="N144" s="13">
        <f>J144-G144</f>
        <v/>
      </c>
      <c r="O144" s="14">
        <f>IFERROR((J144-G144)/G144,"")</f>
        <v/>
      </c>
      <c r="P144" s="11">
        <f>K144-H144</f>
        <v/>
      </c>
    </row>
    <row r="145">
      <c r="A145" s="2" t="n">
        <v>141</v>
      </c>
      <c r="B145" s="2" t="inlineStr">
        <is>
          <t>R350-0152</t>
        </is>
      </c>
      <c r="C145" s="2" t="inlineStr">
        <is>
          <t>XxLilithxX</t>
        </is>
      </c>
      <c r="D145" s="2" t="inlineStr">
        <is>
          <t>XxLilithxX</t>
        </is>
      </c>
      <c r="E145" s="2" t="inlineStr">
        <is>
          <t>Exact name match (Pass 1) via canonical</t>
        </is>
      </c>
      <c r="F145" s="4" t="n">
        <v>154263417</v>
      </c>
      <c r="G145" s="4" t="n">
        <v>1797613890</v>
      </c>
      <c r="H145" s="4" t="n">
        <v>1156000</v>
      </c>
      <c r="I145" s="4" t="n">
        <v>160060105</v>
      </c>
      <c r="J145" s="4" t="n">
        <v>1845098774</v>
      </c>
      <c r="K145" s="4" t="n">
        <v>28700</v>
      </c>
      <c r="L145" s="7">
        <f>I145-F145</f>
        <v/>
      </c>
      <c r="M145" s="15">
        <f>IFERROR((I145-F145)/F145,"")</f>
        <v/>
      </c>
      <c r="N145" s="7">
        <f>J145-G145</f>
        <v/>
      </c>
      <c r="O145" s="8">
        <f>IFERROR((J145-G145)/G145,"")</f>
        <v/>
      </c>
      <c r="P145" s="5">
        <f>K145-H145</f>
        <v/>
      </c>
    </row>
    <row r="146">
      <c r="A146" s="9" t="n">
        <v>142</v>
      </c>
      <c r="B146" s="9" t="inlineStr">
        <is>
          <t>R350-0186</t>
        </is>
      </c>
      <c r="C146" s="9" t="inlineStr">
        <is>
          <t>Rebel Valkyrie</t>
        </is>
      </c>
      <c r="D146" s="9" t="inlineStr">
        <is>
          <t>Rebel Valkyrie</t>
        </is>
      </c>
      <c r="E146" s="9" t="inlineStr">
        <is>
          <t>Exact name match (Pass 1) via canonical</t>
        </is>
      </c>
      <c r="F146" s="10" t="n">
        <v>159900154</v>
      </c>
      <c r="G146" s="10" t="n">
        <v>2789331841</v>
      </c>
      <c r="H146" s="10" t="n">
        <v>660100</v>
      </c>
      <c r="I146" s="10" t="n">
        <v>158867449</v>
      </c>
      <c r="J146" s="10" t="n">
        <v>2869462790</v>
      </c>
      <c r="K146" s="10" t="n">
        <v>2700</v>
      </c>
      <c r="L146" s="11">
        <f>I146-F146</f>
        <v/>
      </c>
      <c r="M146" s="12">
        <f>IFERROR((I146-F146)/F146,"")</f>
        <v/>
      </c>
      <c r="N146" s="13">
        <f>J146-G146</f>
        <v/>
      </c>
      <c r="O146" s="14">
        <f>IFERROR((J146-G146)/G146,"")</f>
        <v/>
      </c>
      <c r="P146" s="11">
        <f>K146-H146</f>
        <v/>
      </c>
    </row>
    <row r="147">
      <c r="A147" s="2" t="n">
        <v>143</v>
      </c>
      <c r="B147" s="2" t="inlineStr">
        <is>
          <t>R350-0264</t>
        </is>
      </c>
      <c r="C147" s="2" t="inlineStr">
        <is>
          <t>Vladislav</t>
        </is>
      </c>
      <c r="D147" s="2" t="inlineStr">
        <is>
          <t>Vladislav</t>
        </is>
      </c>
      <c r="E147" s="2" t="inlineStr">
        <is>
          <t>Exact name match (Pass 1) via canonical</t>
        </is>
      </c>
      <c r="F147" s="4" t="n">
        <v>159727214</v>
      </c>
      <c r="G147" s="4" t="n">
        <v>3137913131</v>
      </c>
      <c r="H147" s="4" t="n">
        <v>5114248</v>
      </c>
      <c r="I147" s="4" t="n">
        <v>154850674</v>
      </c>
      <c r="J147" s="4" t="n">
        <v>3366066920</v>
      </c>
      <c r="K147" s="4" t="n">
        <v>5892628</v>
      </c>
      <c r="L147" s="5">
        <f>I147-F147</f>
        <v/>
      </c>
      <c r="M147" s="6">
        <f>IFERROR((I147-F147)/F147,"")</f>
        <v/>
      </c>
      <c r="N147" s="7">
        <f>J147-G147</f>
        <v/>
      </c>
      <c r="O147" s="8">
        <f>IFERROR((J147-G147)/G147,"")</f>
        <v/>
      </c>
      <c r="P147" s="7">
        <f>K147-H147</f>
        <v/>
      </c>
    </row>
    <row r="148">
      <c r="A148" s="9" t="n">
        <v>144</v>
      </c>
      <c r="B148" s="9" t="inlineStr">
        <is>
          <t>R350-0132</t>
        </is>
      </c>
      <c r="C148" s="9" t="inlineStr">
        <is>
          <t>RusVikingGirl</t>
        </is>
      </c>
      <c r="D148" s="9" t="inlineStr">
        <is>
          <t>RusVikingGirl</t>
        </is>
      </c>
      <c r="E148" s="9" t="inlineStr">
        <is>
          <t>Exact name match (Pass 1) via canonical</t>
        </is>
      </c>
      <c r="F148" s="10" t="n">
        <v>159710832</v>
      </c>
      <c r="G148" s="10" t="n">
        <v>2711751475</v>
      </c>
      <c r="H148" s="10" t="n">
        <v>1075881</v>
      </c>
      <c r="I148" s="10" t="n">
        <v>151509469</v>
      </c>
      <c r="J148" s="10" t="n">
        <v>2753044468</v>
      </c>
      <c r="K148" s="10" t="n">
        <v>1908881</v>
      </c>
      <c r="L148" s="11">
        <f>I148-F148</f>
        <v/>
      </c>
      <c r="M148" s="12">
        <f>IFERROR((I148-F148)/F148,"")</f>
        <v/>
      </c>
      <c r="N148" s="13">
        <f>J148-G148</f>
        <v/>
      </c>
      <c r="O148" s="14">
        <f>IFERROR((J148-G148)/G148,"")</f>
        <v/>
      </c>
      <c r="P148" s="13">
        <f>K148-H148</f>
        <v/>
      </c>
    </row>
    <row r="149">
      <c r="A149" s="2" t="n">
        <v>145</v>
      </c>
      <c r="B149" s="2" t="inlineStr">
        <is>
          <t>R350-0067</t>
        </is>
      </c>
      <c r="C149" s="2" t="inlineStr">
        <is>
          <t>Bonk</t>
        </is>
      </c>
      <c r="D149" s="2" t="inlineStr">
        <is>
          <t>Bonk</t>
        </is>
      </c>
      <c r="E149" s="2" t="inlineStr">
        <is>
          <t>Exact name match (Pass 1) via canonical</t>
        </is>
      </c>
      <c r="F149" s="4" t="n">
        <v>148889272</v>
      </c>
      <c r="G149" s="4" t="n">
        <v>3700020208</v>
      </c>
      <c r="H149" s="4" t="n">
        <v>1171400</v>
      </c>
      <c r="I149" s="4" t="n">
        <v>159688053</v>
      </c>
      <c r="J149" s="4" t="n">
        <v>3885914388</v>
      </c>
      <c r="K149" s="4" t="n">
        <v>453700</v>
      </c>
      <c r="L149" s="7">
        <f>I149-F149</f>
        <v/>
      </c>
      <c r="M149" s="15">
        <f>IFERROR((I149-F149)/F149,"")</f>
        <v/>
      </c>
      <c r="N149" s="7">
        <f>J149-G149</f>
        <v/>
      </c>
      <c r="O149" s="8">
        <f>IFERROR((J149-G149)/G149,"")</f>
        <v/>
      </c>
      <c r="P149" s="5">
        <f>K149-H149</f>
        <v/>
      </c>
    </row>
    <row r="150">
      <c r="A150" s="9" t="n">
        <v>146</v>
      </c>
      <c r="B150" s="9" t="inlineStr">
        <is>
          <t>R350-0096</t>
        </is>
      </c>
      <c r="C150" s="9" t="inlineStr">
        <is>
          <t>Dima 1</t>
        </is>
      </c>
      <c r="D150" s="9" t="inlineStr">
        <is>
          <t>Dima 1</t>
        </is>
      </c>
      <c r="E150" s="9" t="inlineStr">
        <is>
          <t>Exact name match (Pass 1) via canonical</t>
        </is>
      </c>
      <c r="F150" s="10" t="n">
        <v>154154353</v>
      </c>
      <c r="G150" s="10" t="n">
        <v>1787223669</v>
      </c>
      <c r="H150" s="10" t="n">
        <v>92747362</v>
      </c>
      <c r="I150" s="10" t="n">
        <v>158328885</v>
      </c>
      <c r="J150" s="10" t="n">
        <v>1795733798</v>
      </c>
      <c r="K150" s="10" t="n">
        <v>93027667</v>
      </c>
      <c r="L150" s="13">
        <f>I150-F150</f>
        <v/>
      </c>
      <c r="M150" s="16">
        <f>IFERROR((I150-F150)/F150,"")</f>
        <v/>
      </c>
      <c r="N150" s="13">
        <f>J150-G150</f>
        <v/>
      </c>
      <c r="O150" s="14">
        <f>IFERROR((J150-G150)/G150,"")</f>
        <v/>
      </c>
      <c r="P150" s="13">
        <f>K150-H150</f>
        <v/>
      </c>
    </row>
    <row r="151">
      <c r="A151" s="2" t="n">
        <v>147</v>
      </c>
      <c r="B151" s="2" t="inlineStr">
        <is>
          <t>R350-0188</t>
        </is>
      </c>
      <c r="C151" s="2" t="inlineStr">
        <is>
          <t>RAIJIN</t>
        </is>
      </c>
      <c r="D151" s="2" t="inlineStr">
        <is>
          <t>RAIJIN</t>
        </is>
      </c>
      <c r="E151" s="2" t="inlineStr">
        <is>
          <t>Exact name match (Pass 1) via canonical</t>
        </is>
      </c>
      <c r="F151" s="4" t="n">
        <v>157986436</v>
      </c>
      <c r="G151" s="4" t="n">
        <v>8441390804</v>
      </c>
      <c r="H151" s="4" t="n">
        <v>871337</v>
      </c>
      <c r="I151" s="4" t="n">
        <v>154939826</v>
      </c>
      <c r="J151" s="4" t="n">
        <v>8804650423</v>
      </c>
      <c r="K151" s="4" t="n">
        <v>123300</v>
      </c>
      <c r="L151" s="5">
        <f>I151-F151</f>
        <v/>
      </c>
      <c r="M151" s="6">
        <f>IFERROR((I151-F151)/F151,"")</f>
        <v/>
      </c>
      <c r="N151" s="7">
        <f>J151-G151</f>
        <v/>
      </c>
      <c r="O151" s="8">
        <f>IFERROR((J151-G151)/G151,"")</f>
        <v/>
      </c>
      <c r="P151" s="5">
        <f>K151-H151</f>
        <v/>
      </c>
    </row>
    <row r="152">
      <c r="A152" s="9" t="n">
        <v>148</v>
      </c>
      <c r="B152" s="9" t="inlineStr">
        <is>
          <t>R350-0262</t>
        </is>
      </c>
      <c r="C152" s="9" t="inlineStr">
        <is>
          <t>VALN</t>
        </is>
      </c>
      <c r="D152" s="9" t="inlineStr">
        <is>
          <t>VALN</t>
        </is>
      </c>
      <c r="E152" s="9" t="inlineStr">
        <is>
          <t>Exact name match (Pass 1) via canonical</t>
        </is>
      </c>
      <c r="F152" s="10" t="n">
        <v>152624521</v>
      </c>
      <c r="G152" s="10" t="n">
        <v>1444766231</v>
      </c>
      <c r="H152" s="10" t="n">
        <v>7686182</v>
      </c>
      <c r="I152" s="10" t="n">
        <v>157791662</v>
      </c>
      <c r="J152" s="10" t="n">
        <v>1458264485</v>
      </c>
      <c r="K152" s="10" t="n">
        <v>8464904</v>
      </c>
      <c r="L152" s="13">
        <f>I152-F152</f>
        <v/>
      </c>
      <c r="M152" s="16">
        <f>IFERROR((I152-F152)/F152,"")</f>
        <v/>
      </c>
      <c r="N152" s="13">
        <f>J152-G152</f>
        <v/>
      </c>
      <c r="O152" s="14">
        <f>IFERROR((J152-G152)/G152,"")</f>
        <v/>
      </c>
      <c r="P152" s="13">
        <f>K152-H152</f>
        <v/>
      </c>
    </row>
    <row r="153">
      <c r="A153" s="17" t="n">
        <v>149</v>
      </c>
      <c r="B153" s="17" t="inlineStr">
        <is>
          <t>R350-0261</t>
        </is>
      </c>
      <c r="C153" s="17" t="inlineStr">
        <is>
          <t>llllllllllll</t>
        </is>
      </c>
      <c r="D153" s="17" t="inlineStr">
        <is>
          <t>llllllllllll</t>
        </is>
      </c>
      <c r="E153" s="17" t="inlineStr">
        <is>
          <t>CONFIRMED per Chow (31/10): same person, keep ID. ambiguous (Pass 2): dPower +3.85%, dKP +6.1381%, name similarity 1.00, competitors 4, neighbourhood_size 151</t>
        </is>
      </c>
      <c r="F153" s="18" t="n">
        <v>151487309</v>
      </c>
      <c r="G153" s="18" t="n">
        <v>4831251288</v>
      </c>
      <c r="H153" s="18" t="n">
        <v>14063700</v>
      </c>
      <c r="I153" s="18" t="n">
        <v>157560247</v>
      </c>
      <c r="J153" s="18" t="n">
        <v>5127796869</v>
      </c>
      <c r="K153" s="18" t="n">
        <v>348300</v>
      </c>
      <c r="L153" s="19">
        <f>I153-F153</f>
        <v/>
      </c>
      <c r="M153" s="20">
        <f>IFERROR((I153-F153)/F153,"")</f>
        <v/>
      </c>
      <c r="N153" s="19">
        <f>J153-G153</f>
        <v/>
      </c>
      <c r="O153" s="21">
        <f>IFERROR((J153-G153)/G153,"")</f>
        <v/>
      </c>
      <c r="P153" s="22">
        <f>K153-H153</f>
        <v/>
      </c>
    </row>
    <row r="154">
      <c r="A154" s="9" t="n">
        <v>150</v>
      </c>
      <c r="B154" s="9" t="inlineStr">
        <is>
          <t>R350-0102</t>
        </is>
      </c>
      <c r="C154" s="9" t="inlineStr">
        <is>
          <t>MR HuyCuong90</t>
        </is>
      </c>
      <c r="D154" s="9" t="inlineStr">
        <is>
          <t>MR HuyCuong90</t>
        </is>
      </c>
      <c r="E154" s="9" t="inlineStr">
        <is>
          <t>Exact name match (Pass 1) via canonical</t>
        </is>
      </c>
      <c r="F154" s="10" t="n">
        <v>157525189</v>
      </c>
      <c r="G154" s="10" t="n">
        <v>1775934622</v>
      </c>
      <c r="H154" s="10" t="n">
        <v>1552295</v>
      </c>
      <c r="I154" s="10" t="n">
        <v>144170435</v>
      </c>
      <c r="J154" s="10" t="n">
        <v>1879889325</v>
      </c>
      <c r="K154" s="10" t="n">
        <v>2313674</v>
      </c>
      <c r="L154" s="11">
        <f>I154-F154</f>
        <v/>
      </c>
      <c r="M154" s="12">
        <f>IFERROR((I154-F154)/F154,"")</f>
        <v/>
      </c>
      <c r="N154" s="13">
        <f>J154-G154</f>
        <v/>
      </c>
      <c r="O154" s="14">
        <f>IFERROR((J154-G154)/G154,"")</f>
        <v/>
      </c>
      <c r="P154" s="13">
        <f>K154-H154</f>
        <v/>
      </c>
    </row>
    <row r="155">
      <c r="A155" s="2" t="n">
        <v>151</v>
      </c>
      <c r="B155" s="2" t="inlineStr">
        <is>
          <t>R350-0130</t>
        </is>
      </c>
      <c r="C155" s="2" t="inlineStr">
        <is>
          <t>KaRaSu</t>
        </is>
      </c>
      <c r="D155" s="2" t="inlineStr">
        <is>
          <t>KaRaSu</t>
        </is>
      </c>
      <c r="E155" s="2" t="inlineStr">
        <is>
          <t>Exact name match (Pass 1) via canonical</t>
        </is>
      </c>
      <c r="F155" s="4" t="n">
        <v>156466397</v>
      </c>
      <c r="G155" s="4" t="n">
        <v>1887458273</v>
      </c>
      <c r="H155" s="4" t="n">
        <v>99998487</v>
      </c>
      <c r="I155" s="4" t="n">
        <v>157374203</v>
      </c>
      <c r="J155" s="4" t="n">
        <v>1903163104</v>
      </c>
      <c r="K155" s="4" t="n">
        <v>100811122</v>
      </c>
      <c r="L155" s="7">
        <f>I155-F155</f>
        <v/>
      </c>
      <c r="M155" s="15">
        <f>IFERROR((I155-F155)/F155,"")</f>
        <v/>
      </c>
      <c r="N155" s="7">
        <f>J155-G155</f>
        <v/>
      </c>
      <c r="O155" s="8">
        <f>IFERROR((J155-G155)/G155,"")</f>
        <v/>
      </c>
      <c r="P155" s="7">
        <f>K155-H155</f>
        <v/>
      </c>
    </row>
    <row r="156">
      <c r="A156" s="17" t="n">
        <v>152</v>
      </c>
      <c r="B156" s="17" t="inlineStr">
        <is>
          <t>R350-0164</t>
        </is>
      </c>
      <c r="C156" s="17" t="inlineStr">
        <is>
          <t>Nuca</t>
        </is>
      </c>
      <c r="D156" s="17" t="inlineStr">
        <is>
          <t>llllllllll</t>
        </is>
      </c>
      <c r="E156" s="17" t="inlineStr">
        <is>
          <t>CONFIRMED per Chow (31/10): same person, keep ID. ambiguous (Pass 2): dPower +2.25%, dKP +6.9096%, name similarity 0.00, competitors 4, neighbourhood_size 151; UNIQUENESS: FAILED</t>
        </is>
      </c>
      <c r="F156" s="18" t="n">
        <v>157337879</v>
      </c>
      <c r="G156" s="18" t="n">
        <v>2102782145</v>
      </c>
      <c r="H156" s="18" t="n">
        <v>36745367</v>
      </c>
      <c r="I156" s="18" t="n">
        <v>153792630</v>
      </c>
      <c r="J156" s="18" t="n">
        <v>2248075500</v>
      </c>
      <c r="K156" s="18" t="n">
        <v>81200</v>
      </c>
      <c r="L156" s="22">
        <f>I156-F156</f>
        <v/>
      </c>
      <c r="M156" s="25">
        <f>IFERROR((I156-F156)/F156,"")</f>
        <v/>
      </c>
      <c r="N156" s="19">
        <f>J156-G156</f>
        <v/>
      </c>
      <c r="O156" s="21">
        <f>IFERROR((J156-G156)/G156,"")</f>
        <v/>
      </c>
      <c r="P156" s="22">
        <f>K156-H156</f>
        <v/>
      </c>
    </row>
    <row r="157">
      <c r="A157" s="2" t="n">
        <v>153</v>
      </c>
      <c r="B157" s="2" t="inlineStr">
        <is>
          <t>R350-0136</t>
        </is>
      </c>
      <c r="C157" s="2" t="inlineStr">
        <is>
          <t>x Kraken x</t>
        </is>
      </c>
      <c r="D157" s="2" t="inlineStr">
        <is>
          <t>x Kraken x</t>
        </is>
      </c>
      <c r="E157" s="2" t="inlineStr">
        <is>
          <t>Exact name match (Pass 1) via canonical</t>
        </is>
      </c>
      <c r="F157" s="4" t="n">
        <v>154392976</v>
      </c>
      <c r="G157" s="4" t="n">
        <v>1771114307</v>
      </c>
      <c r="H157" s="4" t="n">
        <v>71665679</v>
      </c>
      <c r="I157" s="4" t="n">
        <v>156903499</v>
      </c>
      <c r="J157" s="4" t="n">
        <v>1841088775</v>
      </c>
      <c r="K157" s="4" t="n">
        <v>25200</v>
      </c>
      <c r="L157" s="7">
        <f>I157-F157</f>
        <v/>
      </c>
      <c r="M157" s="15">
        <f>IFERROR((I157-F157)/F157,"")</f>
        <v/>
      </c>
      <c r="N157" s="7">
        <f>J157-G157</f>
        <v/>
      </c>
      <c r="O157" s="8">
        <f>IFERROR((J157-G157)/G157,"")</f>
        <v/>
      </c>
      <c r="P157" s="5">
        <f>K157-H157</f>
        <v/>
      </c>
    </row>
    <row r="158">
      <c r="A158" s="9" t="n">
        <v>154</v>
      </c>
      <c r="B158" s="9" t="inlineStr">
        <is>
          <t>R350-0087</t>
        </is>
      </c>
      <c r="C158" s="9" t="inlineStr">
        <is>
          <t>Mjølner</t>
        </is>
      </c>
      <c r="D158" s="9" t="inlineStr">
        <is>
          <t>Mjølner</t>
        </is>
      </c>
      <c r="E158" s="9" t="inlineStr">
        <is>
          <t>Exact name match (Pass 1) via canonical</t>
        </is>
      </c>
      <c r="F158" s="10" t="n">
        <v>153131766</v>
      </c>
      <c r="G158" s="10" t="n">
        <v>1165055339</v>
      </c>
      <c r="H158" s="10" t="n">
        <v>35693498</v>
      </c>
      <c r="I158" s="10" t="n">
        <v>156645562</v>
      </c>
      <c r="J158" s="10" t="n">
        <v>1165055339</v>
      </c>
      <c r="K158" s="10" t="n">
        <v>36176898</v>
      </c>
      <c r="L158" s="13">
        <f>I158-F158</f>
        <v/>
      </c>
      <c r="M158" s="16">
        <f>IFERROR((I158-F158)/F158,"")</f>
        <v/>
      </c>
      <c r="N158" s="26">
        <f>J158-G158</f>
        <v/>
      </c>
      <c r="O158" s="27">
        <f>IFERROR((J158-G158)/G158,"")</f>
        <v/>
      </c>
      <c r="P158" s="13">
        <f>K158-H158</f>
        <v/>
      </c>
    </row>
    <row r="159">
      <c r="A159" s="2" t="n">
        <v>155</v>
      </c>
      <c r="B159" s="2" t="inlineStr">
        <is>
          <t>R350-0183</t>
        </is>
      </c>
      <c r="C159" s="2" t="inlineStr">
        <is>
          <t>Layla</t>
        </is>
      </c>
      <c r="D159" s="2" t="inlineStr">
        <is>
          <t>Layla</t>
        </is>
      </c>
      <c r="E159" s="2" t="inlineStr">
        <is>
          <t>Exact name match (Pass 1) via canonical</t>
        </is>
      </c>
      <c r="F159" s="4" t="n">
        <v>155394663</v>
      </c>
      <c r="G159" s="4" t="n">
        <v>1327795354</v>
      </c>
      <c r="H159" s="4" t="n">
        <v>5894500</v>
      </c>
      <c r="I159" s="4" t="n">
        <v>154337947</v>
      </c>
      <c r="J159" s="4" t="n">
        <v>1351956197</v>
      </c>
      <c r="K159" s="4" t="n">
        <v>215600</v>
      </c>
      <c r="L159" s="5">
        <f>I159-F159</f>
        <v/>
      </c>
      <c r="M159" s="6">
        <f>IFERROR((I159-F159)/F159,"")</f>
        <v/>
      </c>
      <c r="N159" s="7">
        <f>J159-G159</f>
        <v/>
      </c>
      <c r="O159" s="8">
        <f>IFERROR((J159-G159)/G159,"")</f>
        <v/>
      </c>
      <c r="P159" s="5">
        <f>K159-H159</f>
        <v/>
      </c>
    </row>
    <row r="160">
      <c r="A160" s="9" t="n">
        <v>156</v>
      </c>
      <c r="B160" s="9" t="inlineStr">
        <is>
          <t>R350-0094</t>
        </is>
      </c>
      <c r="C160" s="9" t="inlineStr">
        <is>
          <t>Abadi</t>
        </is>
      </c>
      <c r="D160" s="9" t="inlineStr">
        <is>
          <t>Abadi</t>
        </is>
      </c>
      <c r="E160" s="9" t="inlineStr">
        <is>
          <t>Exact name match (Pass 1) via canonical</t>
        </is>
      </c>
      <c r="F160" s="10" t="n">
        <v>154131360</v>
      </c>
      <c r="G160" s="10" t="n">
        <v>1547677151</v>
      </c>
      <c r="H160" s="10" t="n">
        <v>66483716</v>
      </c>
      <c r="I160" s="10" t="n">
        <v>154699657</v>
      </c>
      <c r="J160" s="10" t="n">
        <v>1547677151</v>
      </c>
      <c r="K160" s="10" t="n">
        <v>66955616</v>
      </c>
      <c r="L160" s="13">
        <f>I160-F160</f>
        <v/>
      </c>
      <c r="M160" s="16">
        <f>IFERROR((I160-F160)/F160,"")</f>
        <v/>
      </c>
      <c r="N160" s="26">
        <f>J160-G160</f>
        <v/>
      </c>
      <c r="O160" s="27">
        <f>IFERROR((J160-G160)/G160,"")</f>
        <v/>
      </c>
      <c r="P160" s="13">
        <f>K160-H160</f>
        <v/>
      </c>
    </row>
    <row r="161">
      <c r="A161" s="2" t="n">
        <v>157</v>
      </c>
      <c r="B161" s="2" t="inlineStr">
        <is>
          <t>R350-0175</t>
        </is>
      </c>
      <c r="C161" s="2" t="inlineStr">
        <is>
          <t>Bối Bối</t>
        </is>
      </c>
      <c r="D161" s="2" t="inlineStr">
        <is>
          <t>Bối Bối</t>
        </is>
      </c>
      <c r="E161" s="2" t="inlineStr">
        <is>
          <t>Exact name match (Pass 1) via canonical</t>
        </is>
      </c>
      <c r="F161" s="4" t="n">
        <v>152310663</v>
      </c>
      <c r="G161" s="4" t="n">
        <v>913626568</v>
      </c>
      <c r="H161" s="4" t="n">
        <v>1329100</v>
      </c>
      <c r="I161" s="4" t="n">
        <v>154142147</v>
      </c>
      <c r="J161" s="4" t="n">
        <v>953234838</v>
      </c>
      <c r="K161" s="4" t="n">
        <v>2064700</v>
      </c>
      <c r="L161" s="7">
        <f>I161-F161</f>
        <v/>
      </c>
      <c r="M161" s="15">
        <f>IFERROR((I161-F161)/F161,"")</f>
        <v/>
      </c>
      <c r="N161" s="7">
        <f>J161-G161</f>
        <v/>
      </c>
      <c r="O161" s="8">
        <f>IFERROR((J161-G161)/G161,"")</f>
        <v/>
      </c>
      <c r="P161" s="7">
        <f>K161-H161</f>
        <v/>
      </c>
    </row>
    <row r="162">
      <c r="A162" s="9" t="n">
        <v>158</v>
      </c>
      <c r="B162" s="9" t="inlineStr">
        <is>
          <t>R350-0109</t>
        </is>
      </c>
      <c r="C162" s="9" t="inlineStr">
        <is>
          <t>Starry Nights</t>
        </is>
      </c>
      <c r="D162" s="9" t="inlineStr">
        <is>
          <t>Starry Nights</t>
        </is>
      </c>
      <c r="E162" s="9" t="inlineStr">
        <is>
          <t>Exact name match (Pass 1) via canonical</t>
        </is>
      </c>
      <c r="F162" s="10" t="n">
        <v>154118513</v>
      </c>
      <c r="G162" s="10" t="n">
        <v>2472147393</v>
      </c>
      <c r="H162" s="10" t="n">
        <v>17277670</v>
      </c>
      <c r="I162" s="10" t="n">
        <v>151145308</v>
      </c>
      <c r="J162" s="10" t="n">
        <v>2636330056</v>
      </c>
      <c r="K162" s="10" t="n">
        <v>17932570</v>
      </c>
      <c r="L162" s="11">
        <f>I162-F162</f>
        <v/>
      </c>
      <c r="M162" s="12">
        <f>IFERROR((I162-F162)/F162,"")</f>
        <v/>
      </c>
      <c r="N162" s="13">
        <f>J162-G162</f>
        <v/>
      </c>
      <c r="O162" s="14">
        <f>IFERROR((J162-G162)/G162,"")</f>
        <v/>
      </c>
      <c r="P162" s="13">
        <f>K162-H162</f>
        <v/>
      </c>
    </row>
    <row r="163">
      <c r="A163" s="2" t="n">
        <v>159</v>
      </c>
      <c r="B163" s="2" t="inlineStr">
        <is>
          <t>R350-0161</t>
        </is>
      </c>
      <c r="C163" s="2" t="inlineStr">
        <is>
          <t>QuangChau</t>
        </is>
      </c>
      <c r="D163" s="2" t="inlineStr">
        <is>
          <t>QuangChau</t>
        </is>
      </c>
      <c r="E163" s="2" t="inlineStr">
        <is>
          <t>Exact name match (Pass 1) via canonical</t>
        </is>
      </c>
      <c r="F163" s="4" t="n">
        <v>153667130</v>
      </c>
      <c r="G163" s="4" t="n">
        <v>1534508508</v>
      </c>
      <c r="H163" s="4" t="n">
        <v>913559</v>
      </c>
      <c r="I163" s="4" t="n">
        <v>144763691</v>
      </c>
      <c r="J163" s="4" t="n">
        <v>1544755844</v>
      </c>
      <c r="K163" s="4" t="n">
        <v>60400</v>
      </c>
      <c r="L163" s="5">
        <f>I163-F163</f>
        <v/>
      </c>
      <c r="M163" s="6">
        <f>IFERROR((I163-F163)/F163,"")</f>
        <v/>
      </c>
      <c r="N163" s="7">
        <f>J163-G163</f>
        <v/>
      </c>
      <c r="O163" s="8">
        <f>IFERROR((J163-G163)/G163,"")</f>
        <v/>
      </c>
      <c r="P163" s="5">
        <f>K163-H163</f>
        <v/>
      </c>
    </row>
    <row r="164">
      <c r="A164" s="9" t="n">
        <v>160</v>
      </c>
      <c r="B164" s="9" t="inlineStr">
        <is>
          <t>R350-0160</t>
        </is>
      </c>
      <c r="C164" s="9" t="inlineStr">
        <is>
          <t>Enem</t>
        </is>
      </c>
      <c r="D164" s="9" t="inlineStr">
        <is>
          <t>Enem</t>
        </is>
      </c>
      <c r="E164" s="9" t="inlineStr">
        <is>
          <t>Exact name match (Pass 1) via alias screen name "Enem"</t>
        </is>
      </c>
      <c r="F164" s="10" t="n">
        <v>151559726</v>
      </c>
      <c r="G164" s="10" t="n">
        <v>3633005764</v>
      </c>
      <c r="H164" s="10" t="n">
        <v>8743671</v>
      </c>
      <c r="I164" s="10" t="n">
        <v>132715306</v>
      </c>
      <c r="J164" s="10" t="n">
        <v>3855543662</v>
      </c>
      <c r="K164" s="10" t="n">
        <v>9326471</v>
      </c>
      <c r="L164" s="11">
        <f>I164-F164</f>
        <v/>
      </c>
      <c r="M164" s="12">
        <f>IFERROR((I164-F164)/F164,"")</f>
        <v/>
      </c>
      <c r="N164" s="13">
        <f>J164-G164</f>
        <v/>
      </c>
      <c r="O164" s="14">
        <f>IFERROR((J164-G164)/G164,"")</f>
        <v/>
      </c>
      <c r="P164" s="13">
        <f>K164-H164</f>
        <v/>
      </c>
    </row>
    <row r="165">
      <c r="A165" s="2" t="n">
        <v>161</v>
      </c>
      <c r="B165" s="2" t="inlineStr">
        <is>
          <t>R350-0167</t>
        </is>
      </c>
      <c r="C165" s="2" t="inlineStr">
        <is>
          <t>Cros</t>
        </is>
      </c>
      <c r="D165" s="2" t="inlineStr">
        <is>
          <t>Cros</t>
        </is>
      </c>
      <c r="E165" s="2" t="inlineStr">
        <is>
          <t>Exact name match (Pass 1) via canonical</t>
        </is>
      </c>
      <c r="F165" s="4" t="n">
        <v>148617101</v>
      </c>
      <c r="G165" s="4" t="n">
        <v>864936287</v>
      </c>
      <c r="H165" s="4" t="n">
        <v>58024111</v>
      </c>
      <c r="I165" s="4" t="n">
        <v>151004689</v>
      </c>
      <c r="J165" s="4" t="n">
        <v>869626751</v>
      </c>
      <c r="K165" s="4" t="n">
        <v>58696311</v>
      </c>
      <c r="L165" s="7">
        <f>I165-F165</f>
        <v/>
      </c>
      <c r="M165" s="15">
        <f>IFERROR((I165-F165)/F165,"")</f>
        <v/>
      </c>
      <c r="N165" s="7">
        <f>J165-G165</f>
        <v/>
      </c>
      <c r="O165" s="8">
        <f>IFERROR((J165-G165)/G165,"")</f>
        <v/>
      </c>
      <c r="P165" s="7">
        <f>K165-H165</f>
        <v/>
      </c>
    </row>
    <row r="166">
      <c r="A166" s="9" t="n">
        <v>162</v>
      </c>
      <c r="B166" s="9" t="inlineStr">
        <is>
          <t>R350-0265</t>
        </is>
      </c>
      <c r="C166" s="9" t="inlineStr">
        <is>
          <t>KRONUS</t>
        </is>
      </c>
      <c r="D166" s="9" t="inlineStr">
        <is>
          <t>KRONUS</t>
        </is>
      </c>
      <c r="E166" s="9" t="inlineStr">
        <is>
          <t>Exact name match (Pass 1) via canonical</t>
        </is>
      </c>
      <c r="F166" s="10" t="n">
        <v>145251096</v>
      </c>
      <c r="G166" s="10" t="n">
        <v>1140991258</v>
      </c>
      <c r="H166" s="10" t="n">
        <v>13953610</v>
      </c>
      <c r="I166" s="10" t="n">
        <v>150646216</v>
      </c>
      <c r="J166" s="10" t="n">
        <v>1223496185</v>
      </c>
      <c r="K166" s="10" t="n">
        <v>42000</v>
      </c>
      <c r="L166" s="13">
        <f>I166-F166</f>
        <v/>
      </c>
      <c r="M166" s="16">
        <f>IFERROR((I166-F166)/F166,"")</f>
        <v/>
      </c>
      <c r="N166" s="13">
        <f>J166-G166</f>
        <v/>
      </c>
      <c r="O166" s="14">
        <f>IFERROR((J166-G166)/G166,"")</f>
        <v/>
      </c>
      <c r="P166" s="11">
        <f>K166-H166</f>
        <v/>
      </c>
    </row>
    <row r="167">
      <c r="A167" s="2" t="n">
        <v>163</v>
      </c>
      <c r="B167" s="2" t="inlineStr">
        <is>
          <t>R350-0146</t>
        </is>
      </c>
      <c r="C167" s="2" t="inlineStr">
        <is>
          <t>FishツKa</t>
        </is>
      </c>
      <c r="D167" s="2" t="inlineStr">
        <is>
          <t>FishツKa</t>
        </is>
      </c>
      <c r="E167" s="2" t="inlineStr">
        <is>
          <t>Exact name match (Pass 1) via canonical</t>
        </is>
      </c>
      <c r="F167" s="4" t="n">
        <v>148077736</v>
      </c>
      <c r="G167" s="4" t="n">
        <v>686989293</v>
      </c>
      <c r="H167" s="4" t="n">
        <v>36528834</v>
      </c>
      <c r="I167" s="4" t="n">
        <v>147678227</v>
      </c>
      <c r="J167" s="4" t="n">
        <v>711469682</v>
      </c>
      <c r="K167" s="4" t="n">
        <v>37261634</v>
      </c>
      <c r="L167" s="5">
        <f>I167-F167</f>
        <v/>
      </c>
      <c r="M167" s="6">
        <f>IFERROR((I167-F167)/F167,"")</f>
        <v/>
      </c>
      <c r="N167" s="7">
        <f>J167-G167</f>
        <v/>
      </c>
      <c r="O167" s="8">
        <f>IFERROR((J167-G167)/G167,"")</f>
        <v/>
      </c>
      <c r="P167" s="7">
        <f>K167-H167</f>
        <v/>
      </c>
    </row>
    <row r="168">
      <c r="A168" s="9" t="n">
        <v>164</v>
      </c>
      <c r="B168" s="9" t="inlineStr">
        <is>
          <t>R350-0267</t>
        </is>
      </c>
      <c r="C168" s="9" t="inlineStr">
        <is>
          <t>Severo</t>
        </is>
      </c>
      <c r="D168" s="9" t="inlineStr">
        <is>
          <t>Severo</t>
        </is>
      </c>
      <c r="E168" s="9" t="inlineStr">
        <is>
          <t>Exact name match (Pass 1) via canonical</t>
        </is>
      </c>
      <c r="F168" s="10" t="n">
        <v>147663071</v>
      </c>
      <c r="G168" s="10" t="n">
        <v>1213899164</v>
      </c>
      <c r="H168" s="10" t="n">
        <v>5797390</v>
      </c>
      <c r="I168" s="10" t="n">
        <v>147245523</v>
      </c>
      <c r="J168" s="10" t="n">
        <v>1234234326</v>
      </c>
      <c r="K168" s="10" t="n">
        <v>9800</v>
      </c>
      <c r="L168" s="11">
        <f>I168-F168</f>
        <v/>
      </c>
      <c r="M168" s="12">
        <f>IFERROR((I168-F168)/F168,"")</f>
        <v/>
      </c>
      <c r="N168" s="13">
        <f>J168-G168</f>
        <v/>
      </c>
      <c r="O168" s="14">
        <f>IFERROR((J168-G168)/G168,"")</f>
        <v/>
      </c>
      <c r="P168" s="11">
        <f>K168-H168</f>
        <v/>
      </c>
    </row>
    <row r="169">
      <c r="A169" s="2" t="n">
        <v>165</v>
      </c>
      <c r="B169" s="2" t="inlineStr">
        <is>
          <t>R350-0121</t>
        </is>
      </c>
      <c r="C169" s="2" t="inlineStr">
        <is>
          <t>FAKEINSHIT</t>
        </is>
      </c>
      <c r="D169" s="2" t="inlineStr">
        <is>
          <t>FAKEINSHIT</t>
        </is>
      </c>
      <c r="E169" s="2" t="inlineStr">
        <is>
          <t>Exact name match (Pass 1) via canonical</t>
        </is>
      </c>
      <c r="F169" s="4" t="n">
        <v>145165373</v>
      </c>
      <c r="G169" s="4" t="n">
        <v>2027703020</v>
      </c>
      <c r="H169" s="4" t="n">
        <v>69293878</v>
      </c>
      <c r="I169" s="4" t="n">
        <v>147493149</v>
      </c>
      <c r="J169" s="4" t="n">
        <v>2085290871</v>
      </c>
      <c r="K169" s="4" t="n">
        <v>70193578</v>
      </c>
      <c r="L169" s="7">
        <f>I169-F169</f>
        <v/>
      </c>
      <c r="M169" s="15">
        <f>IFERROR((I169-F169)/F169,"")</f>
        <v/>
      </c>
      <c r="N169" s="7">
        <f>J169-G169</f>
        <v/>
      </c>
      <c r="O169" s="8">
        <f>IFERROR((J169-G169)/G169,"")</f>
        <v/>
      </c>
      <c r="P169" s="7">
        <f>K169-H169</f>
        <v/>
      </c>
    </row>
    <row r="170">
      <c r="A170" s="9" t="n">
        <v>166</v>
      </c>
      <c r="B170" s="9" t="inlineStr">
        <is>
          <t>R350-0176</t>
        </is>
      </c>
      <c r="C170" s="9" t="inlineStr">
        <is>
          <t>Cold Blood</t>
        </is>
      </c>
      <c r="D170" s="9" t="inlineStr">
        <is>
          <t>Cold Blood</t>
        </is>
      </c>
      <c r="E170" s="9" t="inlineStr">
        <is>
          <t>Exact name match (Pass 1) via canonical</t>
        </is>
      </c>
      <c r="F170" s="10" t="n">
        <v>147325226</v>
      </c>
      <c r="G170" s="10" t="n">
        <v>1469247797</v>
      </c>
      <c r="H170" s="10" t="n">
        <v>5960000</v>
      </c>
      <c r="I170" s="10" t="n">
        <v>132944658</v>
      </c>
      <c r="J170" s="10" t="n">
        <v>1547465516</v>
      </c>
      <c r="K170" s="10" t="n">
        <v>6639100</v>
      </c>
      <c r="L170" s="11">
        <f>I170-F170</f>
        <v/>
      </c>
      <c r="M170" s="12">
        <f>IFERROR((I170-F170)/F170,"")</f>
        <v/>
      </c>
      <c r="N170" s="13">
        <f>J170-G170</f>
        <v/>
      </c>
      <c r="O170" s="14">
        <f>IFERROR((J170-G170)/G170,"")</f>
        <v/>
      </c>
      <c r="P170" s="13">
        <f>K170-H170</f>
        <v/>
      </c>
    </row>
    <row r="171">
      <c r="A171" s="2" t="n">
        <v>167</v>
      </c>
      <c r="B171" s="2" t="inlineStr">
        <is>
          <t>R350-0170</t>
        </is>
      </c>
      <c r="C171" s="2" t="inlineStr">
        <is>
          <t>Пуwa</t>
        </is>
      </c>
      <c r="D171" s="2" t="inlineStr">
        <is>
          <t>Пуwa</t>
        </is>
      </c>
      <c r="E171" s="2" t="inlineStr">
        <is>
          <t>Exact name match (Pass 1) via alias screen name "Пуwa"</t>
        </is>
      </c>
      <c r="F171" s="4" t="n">
        <v>146787363</v>
      </c>
      <c r="G171" s="4" t="n">
        <v>2419336544</v>
      </c>
      <c r="H171" s="4" t="n">
        <v>6704600</v>
      </c>
      <c r="I171" s="4" t="n">
        <v>137556270</v>
      </c>
      <c r="J171" s="4" t="n">
        <v>2583824217</v>
      </c>
      <c r="K171" s="4" t="n">
        <v>48600</v>
      </c>
      <c r="L171" s="5">
        <f>I171-F171</f>
        <v/>
      </c>
      <c r="M171" s="6">
        <f>IFERROR((I171-F171)/F171,"")</f>
        <v/>
      </c>
      <c r="N171" s="7">
        <f>J171-G171</f>
        <v/>
      </c>
      <c r="O171" s="8">
        <f>IFERROR((J171-G171)/G171,"")</f>
        <v/>
      </c>
      <c r="P171" s="5">
        <f>K171-H171</f>
        <v/>
      </c>
    </row>
    <row r="172">
      <c r="A172" s="9" t="n">
        <v>168</v>
      </c>
      <c r="B172" s="9" t="inlineStr">
        <is>
          <t>R350-0151</t>
        </is>
      </c>
      <c r="C172" s="9" t="inlineStr">
        <is>
          <t>Ma 5asaK</t>
        </is>
      </c>
      <c r="D172" s="9" t="inlineStr">
        <is>
          <t>Ma 5asaK</t>
        </is>
      </c>
      <c r="E172" s="9" t="inlineStr">
        <is>
          <t>Exact name match (Pass 1) via canonical</t>
        </is>
      </c>
      <c r="F172" s="10" t="n">
        <v>146296851</v>
      </c>
      <c r="G172" s="10" t="n">
        <v>1456935820</v>
      </c>
      <c r="H172" s="10" t="n">
        <v>63272177</v>
      </c>
      <c r="I172" s="10" t="n">
        <v>145393187</v>
      </c>
      <c r="J172" s="10" t="n">
        <v>1489105467</v>
      </c>
      <c r="K172" s="10" t="n">
        <v>63819977</v>
      </c>
      <c r="L172" s="11">
        <f>I172-F172</f>
        <v/>
      </c>
      <c r="M172" s="12">
        <f>IFERROR((I172-F172)/F172,"")</f>
        <v/>
      </c>
      <c r="N172" s="13">
        <f>J172-G172</f>
        <v/>
      </c>
      <c r="O172" s="14">
        <f>IFERROR((J172-G172)/G172,"")</f>
        <v/>
      </c>
      <c r="P172" s="13">
        <f>K172-H172</f>
        <v/>
      </c>
    </row>
    <row r="173">
      <c r="A173" s="2" t="n">
        <v>169</v>
      </c>
      <c r="B173" s="2" t="inlineStr">
        <is>
          <t>R350-0263</t>
        </is>
      </c>
      <c r="C173" s="2" t="inlineStr">
        <is>
          <t>Winchesterr</t>
        </is>
      </c>
      <c r="D173" s="2" t="inlineStr">
        <is>
          <t>Winchesterr</t>
        </is>
      </c>
      <c r="E173" s="2" t="inlineStr">
        <is>
          <t>Exact name match (Pass 1) via canonical</t>
        </is>
      </c>
      <c r="F173" s="4" t="n">
        <v>145456981</v>
      </c>
      <c r="G173" s="4" t="n">
        <v>2852816647</v>
      </c>
      <c r="H173" s="4" t="n">
        <v>8685700</v>
      </c>
      <c r="I173" s="4" t="n">
        <v>140811891</v>
      </c>
      <c r="J173" s="4" t="n">
        <v>2976493346</v>
      </c>
      <c r="K173" s="4" t="n">
        <v>9333300</v>
      </c>
      <c r="L173" s="5">
        <f>I173-F173</f>
        <v/>
      </c>
      <c r="M173" s="6">
        <f>IFERROR((I173-F173)/F173,"")</f>
        <v/>
      </c>
      <c r="N173" s="7">
        <f>J173-G173</f>
        <v/>
      </c>
      <c r="O173" s="8">
        <f>IFERROR((J173-G173)/G173,"")</f>
        <v/>
      </c>
      <c r="P173" s="7">
        <f>K173-H173</f>
        <v/>
      </c>
    </row>
    <row r="174">
      <c r="A174" s="9" t="n">
        <v>170</v>
      </c>
      <c r="B174" s="9" t="inlineStr">
        <is>
          <t>R350-0181</t>
        </is>
      </c>
      <c r="C174" s="9" t="inlineStr">
        <is>
          <t>Mqmr</t>
        </is>
      </c>
      <c r="D174" s="9" t="inlineStr">
        <is>
          <t>Mqmr</t>
        </is>
      </c>
      <c r="E174" s="9" t="inlineStr">
        <is>
          <t>Exact name match (Pass 1) via canonical</t>
        </is>
      </c>
      <c r="F174" s="10" t="n">
        <v>144595812</v>
      </c>
      <c r="G174" s="10" t="n">
        <v>4458978388</v>
      </c>
      <c r="H174" s="10" t="n">
        <v>1429767</v>
      </c>
      <c r="I174" s="10" t="n">
        <v>135962952</v>
      </c>
      <c r="J174" s="10" t="n">
        <v>4517359134</v>
      </c>
      <c r="K174" s="10" t="n">
        <v>313600</v>
      </c>
      <c r="L174" s="11">
        <f>I174-F174</f>
        <v/>
      </c>
      <c r="M174" s="12">
        <f>IFERROR((I174-F174)/F174,"")</f>
        <v/>
      </c>
      <c r="N174" s="13">
        <f>J174-G174</f>
        <v/>
      </c>
      <c r="O174" s="14">
        <f>IFERROR((J174-G174)/G174,"")</f>
        <v/>
      </c>
      <c r="P174" s="11">
        <f>K174-H174</f>
        <v/>
      </c>
    </row>
    <row r="175">
      <c r="A175" s="2" t="n">
        <v>171</v>
      </c>
      <c r="B175" s="2" t="inlineStr">
        <is>
          <t>R350-0144</t>
        </is>
      </c>
      <c r="C175" s="2" t="inlineStr">
        <is>
          <t>Macabeyi</t>
        </is>
      </c>
      <c r="D175" s="2" t="inlineStr">
        <is>
          <t>Macabeyi</t>
        </is>
      </c>
      <c r="E175" s="2" t="inlineStr">
        <is>
          <t>Exact name match (Pass 1) via canonical</t>
        </is>
      </c>
      <c r="F175" s="4" t="n">
        <v>144507847</v>
      </c>
      <c r="G175" s="4" t="n">
        <v>3841811946</v>
      </c>
      <c r="H175" s="4" t="n">
        <v>1630600</v>
      </c>
      <c r="I175" s="4" t="n">
        <v>125972391</v>
      </c>
      <c r="J175" s="4" t="n">
        <v>4226985271</v>
      </c>
      <c r="K175" s="4" t="n">
        <v>281400</v>
      </c>
      <c r="L175" s="5">
        <f>I175-F175</f>
        <v/>
      </c>
      <c r="M175" s="6">
        <f>IFERROR((I175-F175)/F175,"")</f>
        <v/>
      </c>
      <c r="N175" s="7">
        <f>J175-G175</f>
        <v/>
      </c>
      <c r="O175" s="8">
        <f>IFERROR((J175-G175)/G175,"")</f>
        <v/>
      </c>
      <c r="P175" s="5">
        <f>K175-H175</f>
        <v/>
      </c>
    </row>
    <row r="176">
      <c r="A176" s="9" t="n">
        <v>172</v>
      </c>
      <c r="B176" s="9" t="inlineStr">
        <is>
          <t>R350-0212</t>
        </is>
      </c>
      <c r="C176" s="9" t="inlineStr">
        <is>
          <t>Katrin195</t>
        </is>
      </c>
      <c r="D176" s="9" t="inlineStr">
        <is>
          <t>Katrin195</t>
        </is>
      </c>
      <c r="E176" s="9" t="inlineStr">
        <is>
          <t>Exact name match (Pass 1) via canonical</t>
        </is>
      </c>
      <c r="F176" s="10" t="n">
        <v>144060715</v>
      </c>
      <c r="G176" s="10" t="n">
        <v>497607203</v>
      </c>
      <c r="H176" s="10" t="n">
        <v>13864371</v>
      </c>
      <c r="I176" s="10" t="n">
        <v>137103440</v>
      </c>
      <c r="J176" s="10" t="n">
        <v>506767529</v>
      </c>
      <c r="K176" s="10" t="n">
        <v>14719071</v>
      </c>
      <c r="L176" s="11">
        <f>I176-F176</f>
        <v/>
      </c>
      <c r="M176" s="12">
        <f>IFERROR((I176-F176)/F176,"")</f>
        <v/>
      </c>
      <c r="N176" s="13">
        <f>J176-G176</f>
        <v/>
      </c>
      <c r="O176" s="14">
        <f>IFERROR((J176-G176)/G176,"")</f>
        <v/>
      </c>
      <c r="P176" s="13">
        <f>K176-H176</f>
        <v/>
      </c>
    </row>
    <row r="177">
      <c r="A177" s="2" t="n">
        <v>173</v>
      </c>
      <c r="B177" s="2" t="inlineStr">
        <is>
          <t>R350-0173</t>
        </is>
      </c>
      <c r="C177" s="2" t="inlineStr">
        <is>
          <t>Witch</t>
        </is>
      </c>
      <c r="D177" s="2" t="inlineStr">
        <is>
          <t>Witch</t>
        </is>
      </c>
      <c r="E177" s="2" t="inlineStr">
        <is>
          <t>Exact name match (Pass 1) via canonical</t>
        </is>
      </c>
      <c r="F177" s="4" t="n">
        <v>143888612</v>
      </c>
      <c r="G177" s="4" t="n">
        <v>3120877069</v>
      </c>
      <c r="H177" s="4" t="n">
        <v>797900</v>
      </c>
      <c r="I177" s="4" t="n">
        <v>139037283</v>
      </c>
      <c r="J177" s="4" t="n">
        <v>3196796219</v>
      </c>
      <c r="K177" s="4" t="n">
        <v>139100</v>
      </c>
      <c r="L177" s="5">
        <f>I177-F177</f>
        <v/>
      </c>
      <c r="M177" s="6">
        <f>IFERROR((I177-F177)/F177,"")</f>
        <v/>
      </c>
      <c r="N177" s="7">
        <f>J177-G177</f>
        <v/>
      </c>
      <c r="O177" s="8">
        <f>IFERROR((J177-G177)/G177,"")</f>
        <v/>
      </c>
      <c r="P177" s="5">
        <f>K177-H177</f>
        <v/>
      </c>
    </row>
    <row r="178">
      <c r="A178" s="9" t="n">
        <v>174</v>
      </c>
      <c r="B178" s="9" t="inlineStr">
        <is>
          <t>R350-0171</t>
        </is>
      </c>
      <c r="C178" s="9" t="inlineStr">
        <is>
          <t>KanaeL</t>
        </is>
      </c>
      <c r="D178" s="9" t="inlineStr">
        <is>
          <t>KanaeL</t>
        </is>
      </c>
      <c r="E178" s="9" t="inlineStr">
        <is>
          <t>Exact name match (Pass 1) via canonical</t>
        </is>
      </c>
      <c r="F178" s="10" t="n">
        <v>142395158</v>
      </c>
      <c r="G178" s="10" t="n">
        <v>801114698</v>
      </c>
      <c r="H178" s="10" t="n">
        <v>70891616</v>
      </c>
      <c r="I178" s="10" t="n">
        <v>142767110</v>
      </c>
      <c r="J178" s="10" t="n">
        <v>809417879</v>
      </c>
      <c r="K178" s="10" t="n">
        <v>71651716</v>
      </c>
      <c r="L178" s="13">
        <f>I178-F178</f>
        <v/>
      </c>
      <c r="M178" s="16">
        <f>IFERROR((I178-F178)/F178,"")</f>
        <v/>
      </c>
      <c r="N178" s="13">
        <f>J178-G178</f>
        <v/>
      </c>
      <c r="O178" s="14">
        <f>IFERROR((J178-G178)/G178,"")</f>
        <v/>
      </c>
      <c r="P178" s="13">
        <f>K178-H178</f>
        <v/>
      </c>
    </row>
    <row r="179">
      <c r="A179" s="2" t="n">
        <v>175</v>
      </c>
      <c r="B179" s="2" t="inlineStr">
        <is>
          <t>R350-0196</t>
        </is>
      </c>
      <c r="C179" s="2" t="inlineStr">
        <is>
          <t>Lucid Dream</t>
        </is>
      </c>
      <c r="D179" s="2" t="inlineStr">
        <is>
          <t>Lucid Dream</t>
        </is>
      </c>
      <c r="E179" s="2" t="inlineStr">
        <is>
          <t>Exact name match (Pass 1) via canonical</t>
        </is>
      </c>
      <c r="F179" s="4" t="n">
        <v>140795271</v>
      </c>
      <c r="G179" s="4" t="n">
        <v>3011312788</v>
      </c>
      <c r="H179" s="4" t="n">
        <v>34470710</v>
      </c>
      <c r="I179" s="4" t="n">
        <v>142521502</v>
      </c>
      <c r="J179" s="4" t="n">
        <v>3077229471</v>
      </c>
      <c r="K179" s="4" t="n">
        <v>35135010</v>
      </c>
      <c r="L179" s="7">
        <f>I179-F179</f>
        <v/>
      </c>
      <c r="M179" s="15">
        <f>IFERROR((I179-F179)/F179,"")</f>
        <v/>
      </c>
      <c r="N179" s="7">
        <f>J179-G179</f>
        <v/>
      </c>
      <c r="O179" s="8">
        <f>IFERROR((J179-G179)/G179,"")</f>
        <v/>
      </c>
      <c r="P179" s="7">
        <f>K179-H179</f>
        <v/>
      </c>
    </row>
    <row r="180">
      <c r="A180" s="9" t="n">
        <v>176</v>
      </c>
      <c r="B180" s="9" t="inlineStr">
        <is>
          <t>R350-0266</t>
        </is>
      </c>
      <c r="C180" s="9" t="inlineStr">
        <is>
          <t>SERGEY ESENIN</t>
        </is>
      </c>
      <c r="D180" s="9" t="inlineStr">
        <is>
          <t>SERGEY ESENIN</t>
        </is>
      </c>
      <c r="E180" s="9" t="inlineStr">
        <is>
          <t>Exact name match (Pass 1) via canonical</t>
        </is>
      </c>
      <c r="F180" s="10" t="n">
        <v>140961124</v>
      </c>
      <c r="G180" s="10" t="n">
        <v>5791815757</v>
      </c>
      <c r="H180" s="10" t="n">
        <v>13590765</v>
      </c>
      <c r="I180" s="10" t="n">
        <v>140690772</v>
      </c>
      <c r="J180" s="10" t="n">
        <v>5792373787</v>
      </c>
      <c r="K180" s="10" t="n">
        <v>13774165</v>
      </c>
      <c r="L180" s="11">
        <f>I180-F180</f>
        <v/>
      </c>
      <c r="M180" s="12">
        <f>IFERROR((I180-F180)/F180,"")</f>
        <v/>
      </c>
      <c r="N180" s="13">
        <f>J180-G180</f>
        <v/>
      </c>
      <c r="O180" s="14">
        <f>IFERROR((J180-G180)/G180,"")</f>
        <v/>
      </c>
      <c r="P180" s="13">
        <f>K180-H180</f>
        <v/>
      </c>
    </row>
    <row r="181">
      <c r="A181" s="2" t="n">
        <v>177</v>
      </c>
      <c r="B181" s="2" t="inlineStr">
        <is>
          <t>R350-0210</t>
        </is>
      </c>
      <c r="C181" s="2" t="inlineStr">
        <is>
          <t>DaVoRa</t>
        </is>
      </c>
      <c r="D181" s="2" t="inlineStr">
        <is>
          <t>DaVoRa</t>
        </is>
      </c>
      <c r="E181" s="2" t="inlineStr">
        <is>
          <t>Exact name match (Pass 1) via canonical</t>
        </is>
      </c>
      <c r="F181" s="4" t="n">
        <v>140166640</v>
      </c>
      <c r="G181" s="4" t="n">
        <v>945976323</v>
      </c>
      <c r="H181" s="4" t="n">
        <v>25607149</v>
      </c>
      <c r="I181" s="4" t="n">
        <v>140920919</v>
      </c>
      <c r="J181" s="4" t="n">
        <v>948524611</v>
      </c>
      <c r="K181" s="4" t="n">
        <v>26407049</v>
      </c>
      <c r="L181" s="7">
        <f>I181-F181</f>
        <v/>
      </c>
      <c r="M181" s="15">
        <f>IFERROR((I181-F181)/F181,"")</f>
        <v/>
      </c>
      <c r="N181" s="7">
        <f>J181-G181</f>
        <v/>
      </c>
      <c r="O181" s="8">
        <f>IFERROR((J181-G181)/G181,"")</f>
        <v/>
      </c>
      <c r="P181" s="7">
        <f>K181-H181</f>
        <v/>
      </c>
    </row>
    <row r="182">
      <c r="A182" s="9" t="n">
        <v>178</v>
      </c>
      <c r="B182" s="9" t="inlineStr">
        <is>
          <t>R350-0182</t>
        </is>
      </c>
      <c r="C182" s="9" t="inlineStr">
        <is>
          <t>xxx KABUTO xxx</t>
        </is>
      </c>
      <c r="D182" s="9" t="inlineStr">
        <is>
          <t>xxx KABUTO xxx</t>
        </is>
      </c>
      <c r="E182" s="9" t="inlineStr">
        <is>
          <t>Exact name match (Pass 1) via canonical</t>
        </is>
      </c>
      <c r="F182" s="10" t="n">
        <v>140731620</v>
      </c>
      <c r="G182" s="10" t="n">
        <v>884691321</v>
      </c>
      <c r="H182" s="10" t="n">
        <v>68561688</v>
      </c>
      <c r="I182" s="10" t="n">
        <v>138202614</v>
      </c>
      <c r="J182" s="10" t="n">
        <v>888627830</v>
      </c>
      <c r="K182" s="10" t="n">
        <v>69350388</v>
      </c>
      <c r="L182" s="11">
        <f>I182-F182</f>
        <v/>
      </c>
      <c r="M182" s="12">
        <f>IFERROR((I182-F182)/F182,"")</f>
        <v/>
      </c>
      <c r="N182" s="13">
        <f>J182-G182</f>
        <v/>
      </c>
      <c r="O182" s="14">
        <f>IFERROR((J182-G182)/G182,"")</f>
        <v/>
      </c>
      <c r="P182" s="13">
        <f>K182-H182</f>
        <v/>
      </c>
    </row>
    <row r="183">
      <c r="A183" s="17" t="n">
        <v>179</v>
      </c>
      <c r="B183" s="17" t="inlineStr">
        <is>
          <t>R350-0179</t>
        </is>
      </c>
      <c r="C183" s="17" t="inlineStr">
        <is>
          <t>Surgeon OfDeath</t>
        </is>
      </c>
      <c r="D183" s="17" t="inlineStr">
        <is>
          <t>llllllllllll</t>
        </is>
      </c>
      <c r="E183" s="17" t="inlineStr">
        <is>
          <t>CONFIRMED per Chow (31/10): same person, keep ID. ambiguous (Pass 2): dPower +1.93%, dKP +1.8026%, name similarity 0.00, competitors 1, neighbourhood_size 151; UNIQUENESS: FAILED</t>
        </is>
      </c>
      <c r="F183" s="18" t="n">
        <v>140656474</v>
      </c>
      <c r="G183" s="18" t="n">
        <v>3316706905</v>
      </c>
      <c r="H183" s="18" t="n">
        <v>27565191</v>
      </c>
      <c r="I183" s="18" t="n">
        <v>137939986</v>
      </c>
      <c r="J183" s="18" t="n">
        <v>3376493700</v>
      </c>
      <c r="K183" s="18" t="n">
        <v>28315891</v>
      </c>
      <c r="L183" s="22">
        <f>I183-F183</f>
        <v/>
      </c>
      <c r="M183" s="25">
        <f>IFERROR((I183-F183)/F183,"")</f>
        <v/>
      </c>
      <c r="N183" s="19">
        <f>J183-G183</f>
        <v/>
      </c>
      <c r="O183" s="21">
        <f>IFERROR((J183-G183)/G183,"")</f>
        <v/>
      </c>
      <c r="P183" s="19">
        <f>K183-H183</f>
        <v/>
      </c>
    </row>
    <row r="184">
      <c r="A184" s="9" t="n">
        <v>180</v>
      </c>
      <c r="B184" s="9" t="inlineStr">
        <is>
          <t>R350-0187</t>
        </is>
      </c>
      <c r="C184" s="9" t="inlineStr">
        <is>
          <t>D R A G 0 N</t>
        </is>
      </c>
      <c r="D184" s="9" t="inlineStr">
        <is>
          <t>D R A G 0 N</t>
        </is>
      </c>
      <c r="E184" s="9" t="inlineStr">
        <is>
          <t>Exact name match (Pass 1) via canonical</t>
        </is>
      </c>
      <c r="F184" s="10" t="n">
        <v>138374095</v>
      </c>
      <c r="G184" s="10" t="n">
        <v>2833268195</v>
      </c>
      <c r="H184" s="10" t="n">
        <v>1189800</v>
      </c>
      <c r="I184" s="10" t="n">
        <v>136861241</v>
      </c>
      <c r="J184" s="10" t="n">
        <v>3002672640</v>
      </c>
      <c r="K184" s="10" t="n">
        <v>2015800</v>
      </c>
      <c r="L184" s="11">
        <f>I184-F184</f>
        <v/>
      </c>
      <c r="M184" s="12">
        <f>IFERROR((I184-F184)/F184,"")</f>
        <v/>
      </c>
      <c r="N184" s="13">
        <f>J184-G184</f>
        <v/>
      </c>
      <c r="O184" s="14">
        <f>IFERROR((J184-G184)/G184,"")</f>
        <v/>
      </c>
      <c r="P184" s="13">
        <f>K184-H184</f>
        <v/>
      </c>
    </row>
    <row r="185">
      <c r="A185" s="2" t="n">
        <v>181</v>
      </c>
      <c r="B185" s="2" t="inlineStr">
        <is>
          <t>R350-0270</t>
        </is>
      </c>
      <c r="C185" s="2" t="inlineStr">
        <is>
          <t>Bec</t>
        </is>
      </c>
      <c r="D185" s="2" t="inlineStr">
        <is>
          <t>Bec</t>
        </is>
      </c>
      <c r="E185" s="2" t="inlineStr">
        <is>
          <t>Exact name match (Pass 1) via canonical</t>
        </is>
      </c>
      <c r="F185" s="4" t="n">
        <v>133706791</v>
      </c>
      <c r="G185" s="4" t="n">
        <v>3116394847</v>
      </c>
      <c r="H185" s="4" t="n">
        <v>13575339</v>
      </c>
      <c r="I185" s="4" t="n">
        <v>137906493</v>
      </c>
      <c r="J185" s="4" t="n">
        <v>3188062297</v>
      </c>
      <c r="K185" s="4" t="n">
        <v>15200</v>
      </c>
      <c r="L185" s="7">
        <f>I185-F185</f>
        <v/>
      </c>
      <c r="M185" s="15">
        <f>IFERROR((I185-F185)/F185,"")</f>
        <v/>
      </c>
      <c r="N185" s="7">
        <f>J185-G185</f>
        <v/>
      </c>
      <c r="O185" s="8">
        <f>IFERROR((J185-G185)/G185,"")</f>
        <v/>
      </c>
      <c r="P185" s="5">
        <f>K185-H185</f>
        <v/>
      </c>
    </row>
    <row r="186">
      <c r="A186" s="17" t="n">
        <v>182</v>
      </c>
      <c r="B186" s="17" t="inlineStr">
        <is>
          <t>R350-0195</t>
        </is>
      </c>
      <c r="C186" s="17" t="inlineStr">
        <is>
          <t>Zvyagovna</t>
        </is>
      </c>
      <c r="D186" s="17" t="inlineStr">
        <is>
          <t>llllllllllll</t>
        </is>
      </c>
      <c r="E186" s="17" t="inlineStr">
        <is>
          <t>CONFIRMED per Chow (31/10): same person, keep ID. ambiguous (Pass 2): dPower +0.04%, dKP +4.5110%, name similarity 0.08, competitors 0, neighbourhood_size 17</t>
        </is>
      </c>
      <c r="F186" s="18" t="n">
        <v>137689426</v>
      </c>
      <c r="G186" s="18" t="n">
        <v>710370758</v>
      </c>
      <c r="H186" s="18" t="n">
        <v>33282147</v>
      </c>
      <c r="I186" s="18" t="n">
        <v>137637781</v>
      </c>
      <c r="J186" s="18" t="n">
        <v>742415631</v>
      </c>
      <c r="K186" s="18" t="n">
        <v>85300</v>
      </c>
      <c r="L186" s="22">
        <f>I186-F186</f>
        <v/>
      </c>
      <c r="M186" s="25">
        <f>IFERROR((I186-F186)/F186,"")</f>
        <v/>
      </c>
      <c r="N186" s="19">
        <f>J186-G186</f>
        <v/>
      </c>
      <c r="O186" s="21">
        <f>IFERROR((J186-G186)/G186,"")</f>
        <v/>
      </c>
      <c r="P186" s="22">
        <f>K186-H186</f>
        <v/>
      </c>
    </row>
    <row r="187">
      <c r="A187" s="2" t="n">
        <v>183</v>
      </c>
      <c r="B187" s="2" t="inlineStr">
        <is>
          <t>R350-0269</t>
        </is>
      </c>
      <c r="C187" s="2" t="inlineStr">
        <is>
          <t>Veto4ka</t>
        </is>
      </c>
      <c r="D187" s="2" t="inlineStr">
        <is>
          <t>Veto4ka</t>
        </is>
      </c>
      <c r="E187" s="2" t="inlineStr">
        <is>
          <t>Exact name match (Pass 1) via canonical</t>
        </is>
      </c>
      <c r="F187" s="4" t="n">
        <v>134900205</v>
      </c>
      <c r="G187" s="4" t="n">
        <v>1043585392</v>
      </c>
      <c r="H187" s="4" t="n">
        <v>813821</v>
      </c>
      <c r="I187" s="4" t="n">
        <v>136499220</v>
      </c>
      <c r="J187" s="4" t="n">
        <v>1048730389</v>
      </c>
      <c r="K187" s="4" t="n">
        <v>1506221</v>
      </c>
      <c r="L187" s="7">
        <f>I187-F187</f>
        <v/>
      </c>
      <c r="M187" s="15">
        <f>IFERROR((I187-F187)/F187,"")</f>
        <v/>
      </c>
      <c r="N187" s="7">
        <f>J187-G187</f>
        <v/>
      </c>
      <c r="O187" s="8">
        <f>IFERROR((J187-G187)/G187,"")</f>
        <v/>
      </c>
      <c r="P187" s="7">
        <f>K187-H187</f>
        <v/>
      </c>
    </row>
    <row r="188">
      <c r="A188" s="9" t="n">
        <v>184</v>
      </c>
      <c r="B188" s="9" t="inlineStr">
        <is>
          <t>R350-0268</t>
        </is>
      </c>
      <c r="C188" s="9" t="inlineStr">
        <is>
          <t>Ksatras</t>
        </is>
      </c>
      <c r="D188" s="9" t="inlineStr">
        <is>
          <t>Ksatras</t>
        </is>
      </c>
      <c r="E188" s="9" t="inlineStr">
        <is>
          <t>Exact name match (Pass 1) via canonical</t>
        </is>
      </c>
      <c r="F188" s="10" t="n">
        <v>135501829</v>
      </c>
      <c r="G188" s="10" t="n">
        <v>2104130270</v>
      </c>
      <c r="H188" s="10" t="n">
        <v>13526511</v>
      </c>
      <c r="I188" s="10" t="n">
        <v>135682165</v>
      </c>
      <c r="J188" s="10" t="n">
        <v>2104130270</v>
      </c>
      <c r="K188" s="10" t="n">
        <v>14048811</v>
      </c>
      <c r="L188" s="13">
        <f>I188-F188</f>
        <v/>
      </c>
      <c r="M188" s="16">
        <f>IFERROR((I188-F188)/F188,"")</f>
        <v/>
      </c>
      <c r="N188" s="26">
        <f>J188-G188</f>
        <v/>
      </c>
      <c r="O188" s="27">
        <f>IFERROR((J188-G188)/G188,"")</f>
        <v/>
      </c>
      <c r="P188" s="13">
        <f>K188-H188</f>
        <v/>
      </c>
    </row>
    <row r="189">
      <c r="A189" s="2" t="n">
        <v>185</v>
      </c>
      <c r="B189" s="2" t="inlineStr">
        <is>
          <t>R350-0273</t>
        </is>
      </c>
      <c r="C189" s="2" t="inlineStr">
        <is>
          <t>Lara4ka</t>
        </is>
      </c>
      <c r="D189" s="2" t="inlineStr">
        <is>
          <t>Lara4ka</t>
        </is>
      </c>
      <c r="E189" s="2" t="inlineStr">
        <is>
          <t>Exact name match (Pass 1) via canonical</t>
        </is>
      </c>
      <c r="F189" s="4" t="n">
        <v>133076642</v>
      </c>
      <c r="G189" s="4" t="n">
        <v>756642341</v>
      </c>
      <c r="H189" s="4" t="n">
        <v>4933700</v>
      </c>
      <c r="I189" s="4" t="n">
        <v>129146426</v>
      </c>
      <c r="J189" s="4" t="n">
        <v>790175977</v>
      </c>
      <c r="K189" s="4" t="n">
        <v>146300</v>
      </c>
      <c r="L189" s="5">
        <f>I189-F189</f>
        <v/>
      </c>
      <c r="M189" s="6">
        <f>IFERROR((I189-F189)/F189,"")</f>
        <v/>
      </c>
      <c r="N189" s="7">
        <f>J189-G189</f>
        <v/>
      </c>
      <c r="O189" s="8">
        <f>IFERROR((J189-G189)/G189,"")</f>
        <v/>
      </c>
      <c r="P189" s="5">
        <f>K189-H189</f>
        <v/>
      </c>
    </row>
    <row r="190">
      <c r="A190" s="9" t="n">
        <v>186</v>
      </c>
      <c r="B190" s="9" t="inlineStr">
        <is>
          <t>R350-0271</t>
        </is>
      </c>
      <c r="C190" s="9" t="inlineStr">
        <is>
          <t>Tyr Olafsson</t>
        </is>
      </c>
      <c r="D190" s="9" t="inlineStr">
        <is>
          <t>Tyr Olafsson</t>
        </is>
      </c>
      <c r="E190" s="9" t="inlineStr">
        <is>
          <t>Exact name match (Pass 1) via canonical</t>
        </is>
      </c>
      <c r="F190" s="10" t="n">
        <v>130655017</v>
      </c>
      <c r="G190" s="10" t="n">
        <v>5979564378</v>
      </c>
      <c r="H190" s="10" t="n">
        <v>773874</v>
      </c>
      <c r="I190" s="10" t="n">
        <v>131846633</v>
      </c>
      <c r="J190" s="10" t="n">
        <v>6042068577</v>
      </c>
      <c r="K190" s="10" t="n">
        <v>21500</v>
      </c>
      <c r="L190" s="13">
        <f>I190-F190</f>
        <v/>
      </c>
      <c r="M190" s="16">
        <f>IFERROR((I190-F190)/F190,"")</f>
        <v/>
      </c>
      <c r="N190" s="13">
        <f>J190-G190</f>
        <v/>
      </c>
      <c r="O190" s="14">
        <f>IFERROR((J190-G190)/G190,"")</f>
        <v/>
      </c>
      <c r="P190" s="11">
        <f>K190-H190</f>
        <v/>
      </c>
    </row>
    <row r="191">
      <c r="A191" s="2" t="n">
        <v>187</v>
      </c>
      <c r="B191" s="2" t="inlineStr">
        <is>
          <t>R350-0169</t>
        </is>
      </c>
      <c r="C191" s="2" t="inlineStr">
        <is>
          <t>Anton152</t>
        </is>
      </c>
      <c r="D191" s="2" t="inlineStr">
        <is>
          <t>Anton152</t>
        </is>
      </c>
      <c r="E191" s="2" t="inlineStr">
        <is>
          <t>Exact name match (Pass 1) via canonical</t>
        </is>
      </c>
      <c r="F191" s="4" t="n">
        <v>131316088</v>
      </c>
      <c r="G191" s="4" t="n">
        <v>626898003</v>
      </c>
      <c r="H191" s="4" t="n">
        <v>17608274</v>
      </c>
      <c r="I191" s="4" t="n">
        <v>127811053</v>
      </c>
      <c r="J191" s="4" t="n">
        <v>628515883</v>
      </c>
      <c r="K191" s="4" t="n">
        <v>18241474</v>
      </c>
      <c r="L191" s="5">
        <f>I191-F191</f>
        <v/>
      </c>
      <c r="M191" s="6">
        <f>IFERROR((I191-F191)/F191,"")</f>
        <v/>
      </c>
      <c r="N191" s="7">
        <f>J191-G191</f>
        <v/>
      </c>
      <c r="O191" s="8">
        <f>IFERROR((J191-G191)/G191,"")</f>
        <v/>
      </c>
      <c r="P191" s="7">
        <f>K191-H191</f>
        <v/>
      </c>
    </row>
    <row r="192">
      <c r="A192" s="9" t="n">
        <v>188</v>
      </c>
      <c r="B192" s="9" t="inlineStr">
        <is>
          <t>R350-0185</t>
        </is>
      </c>
      <c r="C192" s="9" t="inlineStr">
        <is>
          <t>hugoelse</t>
        </is>
      </c>
      <c r="D192" s="9" t="inlineStr">
        <is>
          <t>hugoelse</t>
        </is>
      </c>
      <c r="E192" s="9" t="inlineStr">
        <is>
          <t>Exact name match (Pass 1) via canonical</t>
        </is>
      </c>
      <c r="F192" s="10" t="n">
        <v>130981111</v>
      </c>
      <c r="G192" s="10" t="n">
        <v>5478419879</v>
      </c>
      <c r="H192" s="10" t="n">
        <v>38537706</v>
      </c>
      <c r="I192" s="10" t="n">
        <v>130789705</v>
      </c>
      <c r="J192" s="10" t="n">
        <v>5552513131</v>
      </c>
      <c r="K192" s="10" t="n">
        <v>241900</v>
      </c>
      <c r="L192" s="11">
        <f>I192-F192</f>
        <v/>
      </c>
      <c r="M192" s="12">
        <f>IFERROR((I192-F192)/F192,"")</f>
        <v/>
      </c>
      <c r="N192" s="13">
        <f>J192-G192</f>
        <v/>
      </c>
      <c r="O192" s="14">
        <f>IFERROR((J192-G192)/G192,"")</f>
        <v/>
      </c>
      <c r="P192" s="11">
        <f>K192-H192</f>
        <v/>
      </c>
    </row>
    <row r="193">
      <c r="A193" s="2" t="n">
        <v>189</v>
      </c>
      <c r="B193" s="2" t="inlineStr">
        <is>
          <t>R350-0272</t>
        </is>
      </c>
      <c r="C193" s="2" t="inlineStr">
        <is>
          <t>викинг 22</t>
        </is>
      </c>
      <c r="D193" s="2" t="inlineStr">
        <is>
          <t>викинг 22</t>
        </is>
      </c>
      <c r="E193" s="2" t="inlineStr">
        <is>
          <t>Exact name match (Pass 1) via canonical</t>
        </is>
      </c>
      <c r="F193" s="4" t="n">
        <v>128064168</v>
      </c>
      <c r="G193" s="4" t="n">
        <v>3634319100</v>
      </c>
      <c r="H193" s="4" t="n">
        <v>13192503</v>
      </c>
      <c r="I193" s="4" t="n">
        <v>122771308</v>
      </c>
      <c r="J193" s="4" t="n">
        <v>3647062520</v>
      </c>
      <c r="K193" s="4" t="n">
        <v>13687308</v>
      </c>
      <c r="L193" s="5">
        <f>I193-F193</f>
        <v/>
      </c>
      <c r="M193" s="6">
        <f>IFERROR((I193-F193)/F193,"")</f>
        <v/>
      </c>
      <c r="N193" s="7">
        <f>J193-G193</f>
        <v/>
      </c>
      <c r="O193" s="8">
        <f>IFERROR((J193-G193)/G193,"")</f>
        <v/>
      </c>
      <c r="P193" s="7">
        <f>K193-H193</f>
        <v/>
      </c>
    </row>
    <row r="194">
      <c r="A194" s="9" t="n">
        <v>190</v>
      </c>
      <c r="B194" s="9" t="inlineStr">
        <is>
          <t>R350-0274</t>
        </is>
      </c>
      <c r="C194" s="9" t="inlineStr">
        <is>
          <t>KsuKoX</t>
        </is>
      </c>
      <c r="D194" s="9" t="inlineStr">
        <is>
          <t>KsuKoX</t>
        </is>
      </c>
      <c r="E194" s="9" t="inlineStr">
        <is>
          <t>Exact name match (Pass 1) via canonical</t>
        </is>
      </c>
      <c r="F194" s="10" t="n">
        <v>123121352</v>
      </c>
      <c r="G194" s="10" t="n">
        <v>1126057171</v>
      </c>
      <c r="H194" s="10" t="n">
        <v>8580632</v>
      </c>
      <c r="I194" s="10" t="n">
        <v>127170433</v>
      </c>
      <c r="J194" s="10" t="n">
        <v>1148506599</v>
      </c>
      <c r="K194" s="10" t="n">
        <v>50900</v>
      </c>
      <c r="L194" s="13">
        <f>I194-F194</f>
        <v/>
      </c>
      <c r="M194" s="16">
        <f>IFERROR((I194-F194)/F194,"")</f>
        <v/>
      </c>
      <c r="N194" s="13">
        <f>J194-G194</f>
        <v/>
      </c>
      <c r="O194" s="14">
        <f>IFERROR((J194-G194)/G194,"")</f>
        <v/>
      </c>
      <c r="P194" s="11">
        <f>K194-H194</f>
        <v/>
      </c>
    </row>
    <row r="195">
      <c r="A195" s="2" t="n">
        <v>191</v>
      </c>
      <c r="B195" s="2" t="inlineStr">
        <is>
          <t>R350-0275</t>
        </is>
      </c>
      <c r="C195" s="2" t="inlineStr">
        <is>
          <t>dimon29epta</t>
        </is>
      </c>
      <c r="D195" s="2" t="inlineStr">
        <is>
          <t>dimon29epta</t>
        </is>
      </c>
      <c r="E195" s="2" t="inlineStr">
        <is>
          <t>Exact name match (Pass 1) via canonical</t>
        </is>
      </c>
      <c r="F195" s="4" t="n">
        <v>118631156</v>
      </c>
      <c r="G195" s="4" t="n">
        <v>3236827577</v>
      </c>
      <c r="H195" s="4" t="n">
        <v>12876018</v>
      </c>
      <c r="I195" s="4" t="n">
        <v>118730909</v>
      </c>
      <c r="J195" s="4" t="n">
        <v>3236827577</v>
      </c>
      <c r="K195" s="4" t="n">
        <v>13686018</v>
      </c>
      <c r="L195" s="7">
        <f>I195-F195</f>
        <v/>
      </c>
      <c r="M195" s="15">
        <f>IFERROR((I195-F195)/F195,"")</f>
        <v/>
      </c>
      <c r="N195" s="23">
        <f>J195-G195</f>
        <v/>
      </c>
      <c r="O195" s="24">
        <f>IFERROR((J195-G195)/G195,"")</f>
        <v/>
      </c>
      <c r="P195" s="7">
        <f>K195-H195</f>
        <v/>
      </c>
    </row>
    <row r="196">
      <c r="A196" s="9" t="n">
        <v>192</v>
      </c>
      <c r="B196" s="9" t="inlineStr">
        <is>
          <t>R350-0198</t>
        </is>
      </c>
      <c r="C196" s="9" t="inlineStr">
        <is>
          <t>Баночка</t>
        </is>
      </c>
      <c r="D196" s="9" t="inlineStr">
        <is>
          <t>Баночка</t>
        </is>
      </c>
      <c r="E196" s="9" t="inlineStr">
        <is>
          <t>Exact name match (Pass 1) via canonical</t>
        </is>
      </c>
      <c r="F196" s="10" t="n">
        <v>86461749</v>
      </c>
      <c r="G196" s="10" t="n">
        <v>110780163</v>
      </c>
      <c r="H196" s="10" t="n">
        <v>34501454</v>
      </c>
      <c r="I196" s="10" t="n">
        <v>87462276</v>
      </c>
      <c r="J196" s="10" t="n">
        <v>110780163</v>
      </c>
      <c r="K196" s="10" t="n">
        <v>34960854</v>
      </c>
      <c r="L196" s="13">
        <f>I196-F196</f>
        <v/>
      </c>
      <c r="M196" s="16">
        <f>IFERROR((I196-F196)/F196,"")</f>
        <v/>
      </c>
      <c r="N196" s="26">
        <f>J196-G196</f>
        <v/>
      </c>
      <c r="O196" s="27">
        <f>IFERROR((J196-G196)/G196,"")</f>
        <v/>
      </c>
      <c r="P196" s="13">
        <f>K196-H196</f>
        <v/>
      </c>
    </row>
    <row r="197">
      <c r="A197" s="28" t="n">
        <v>193</v>
      </c>
      <c r="B197" s="28" t="inlineStr">
        <is>
          <t>R350-0003</t>
        </is>
      </c>
      <c r="C197" s="28" t="inlineStr">
        <is>
          <t>133tz</t>
        </is>
      </c>
      <c r="D197" s="28" t="inlineStr">
        <is>
          <t>133tz</t>
        </is>
      </c>
      <c r="E197" s="28" t="inlineStr">
        <is>
          <t>PRESENT per Chow (NOT a departure) - not captured in 31/10 video; current stats from Chow 31/10: Power 570,884,806 / KP 11,675,253,185; Act 15,000 (Chow 31/10). [Video evidence was: Only in D1 - evidence A: Power falls between D2 rows 2 Edinstv (716,691,410) and 3 Timmeee (385,119,915), observed adjacent in the same panel: YES]</t>
        </is>
      </c>
      <c r="F197" s="29" t="n">
        <v>567716801</v>
      </c>
      <c r="G197" s="29" t="n">
        <v>11235193560</v>
      </c>
      <c r="H197" s="29" t="n">
        <v>5768800</v>
      </c>
      <c r="I197" s="29" t="n">
        <v>570884806</v>
      </c>
      <c r="J197" s="29" t="n">
        <v>11675253185</v>
      </c>
      <c r="K197" s="29" t="n">
        <v>15000</v>
      </c>
      <c r="L197" s="30">
        <f>I197-F197</f>
        <v/>
      </c>
      <c r="M197" s="30">
        <f>IFERROR((I197-F197)/F197,"")</f>
        <v/>
      </c>
      <c r="N197" s="30">
        <f>J197-G197</f>
        <v/>
      </c>
      <c r="O197" s="30">
        <f>IFERROR((J197-G197)/G197,"")</f>
        <v/>
      </c>
      <c r="P197" s="30">
        <f>K197-H197</f>
        <v/>
      </c>
    </row>
    <row r="198">
      <c r="A198" s="28" t="n">
        <v>194</v>
      </c>
      <c r="B198" s="28" t="inlineStr">
        <is>
          <t>R350-0079</t>
        </is>
      </c>
      <c r="C198" s="28" t="inlineStr">
        <is>
          <t>Phong Anh Kiet</t>
        </is>
      </c>
      <c r="D198" s="28" t="inlineStr">
        <is>
          <t>Phong Anh Kiet</t>
        </is>
      </c>
      <c r="E198" s="28" t="inlineStr">
        <is>
          <t>REJOINED per Chow (NOT a departure) - left and just rejoined; not captured in 31/10 video; current stats from Chow 31/10: Power 183,889,375 / KP 2,432,413,110 / Act 0 (just rejoined). [Video evidence was: Only in D1 - evidence A: Power falls between D2 rows 58 Turbonik (191,243,904) and 59 FalconN (188,689,601), observed adjacent in the same panel: YES]</t>
        </is>
      </c>
      <c r="F198" s="29" t="n">
        <v>189631972</v>
      </c>
      <c r="G198" s="29" t="n">
        <v>2354765622</v>
      </c>
      <c r="H198" s="29" t="n">
        <v>19640850</v>
      </c>
      <c r="I198" s="29" t="n">
        <v>183889375</v>
      </c>
      <c r="J198" s="29" t="n">
        <v>2432413110</v>
      </c>
      <c r="K198" s="29" t="n">
        <v>0</v>
      </c>
      <c r="L198" s="30">
        <f>I198-F198</f>
        <v/>
      </c>
      <c r="M198" s="30">
        <f>IFERROR((I198-F198)/F198,"")</f>
        <v/>
      </c>
      <c r="N198" s="30">
        <f>J198-G198</f>
        <v/>
      </c>
      <c r="O198" s="30">
        <f>IFERROR((J198-G198)/G198,"")</f>
        <v/>
      </c>
      <c r="P198" s="30">
        <f>K198-H198</f>
        <v/>
      </c>
    </row>
    <row r="199">
      <c r="A199" s="28" t="n">
        <v>195</v>
      </c>
      <c r="B199" s="28" t="inlineStr">
        <is>
          <t>R350-0142</t>
        </is>
      </c>
      <c r="C199" s="28" t="inlineStr">
        <is>
          <t>Simona</t>
        </is>
      </c>
      <c r="D199" s="28" t="inlineStr">
        <is>
          <t>Simona</t>
        </is>
      </c>
      <c r="E199" s="28" t="inlineStr">
        <is>
          <t>PRESENT per Chow (NOT a departure) - not captured in 31/10 video; current stats from Chow screenshot: Power 158,733,482 / KP 6,931,115,332, nickname llllllllllll; Act 0 (Chow 31/10). [Video evidence was: Only in D1 - evidence A: Power falls between D2 rows 146 nirr (156,099,252) and 147 RAIJIN (154,939,826), observed adjacent in the same panel: YES]</t>
        </is>
      </c>
      <c r="F199" s="29" t="n">
        <v>155482293</v>
      </c>
      <c r="G199" s="29" t="n">
        <v>6389446860</v>
      </c>
      <c r="H199" s="29" t="n">
        <v>13517000</v>
      </c>
      <c r="I199" s="29" t="n">
        <v>158733482</v>
      </c>
      <c r="J199" s="29" t="n">
        <v>6931115332</v>
      </c>
      <c r="K199" s="29" t="n">
        <v>0</v>
      </c>
      <c r="L199" s="30">
        <f>I199-F199</f>
        <v/>
      </c>
      <c r="M199" s="30">
        <f>IFERROR((I199-F199)/F199,"")</f>
        <v/>
      </c>
      <c r="N199" s="30">
        <f>J199-G199</f>
        <v/>
      </c>
      <c r="O199" s="30">
        <f>IFERROR((J199-G199)/G199,"")</f>
        <v/>
      </c>
      <c r="P199" s="30">
        <f>K199-H199</f>
        <v/>
      </c>
    </row>
    <row r="200">
      <c r="A200" s="28" t="n">
        <v>196</v>
      </c>
      <c r="B200" s="28" t="inlineStr">
        <is>
          <t>R350-0189</t>
        </is>
      </c>
      <c r="C200" s="28" t="inlineStr">
        <is>
          <t>Деонисс</t>
        </is>
      </c>
      <c r="D200" s="28" t="inlineStr"/>
      <c r="E200" s="28" t="inlineStr">
        <is>
          <t>Only in D1 - evidence A: Power falls between D2 rows 184 Enem (132,715,306) and 185 Tyr Olafsson (131,846,633), observed adjacent in the same panel: YES</t>
        </is>
      </c>
      <c r="F200" s="29" t="n">
        <v>132682327</v>
      </c>
      <c r="G200" s="29" t="n">
        <v>856282541</v>
      </c>
      <c r="H200" s="29" t="n">
        <v>67824514</v>
      </c>
      <c r="I200" s="29" t="n"/>
      <c r="J200" s="29" t="n"/>
      <c r="K200" s="29" t="n"/>
      <c r="L200" s="30" t="n"/>
      <c r="M200" s="30" t="n"/>
      <c r="N200" s="30" t="n"/>
      <c r="O200" s="30" t="n"/>
      <c r="P200" s="30" t="n"/>
    </row>
    <row r="201">
      <c r="A201" s="28" t="n">
        <v>197</v>
      </c>
      <c r="B201" s="28" t="inlineStr">
        <is>
          <t>R350-0193</t>
        </is>
      </c>
      <c r="C201" s="28" t="inlineStr">
        <is>
          <t>Leader392837282</t>
        </is>
      </c>
      <c r="D201" s="28" t="inlineStr">
        <is>
          <t>Leader392837282</t>
        </is>
      </c>
      <c r="E201" s="28" t="inlineStr">
        <is>
          <t>PRESENT per Chow (NOT a departure) - not captured in 31/10 video; current stats from Chow 31/10: Power 115,342,329 / KP 1,302,918,192 / Act 0. [Video evidence was: Only in D1 - evidence A: Power falls between D2 rows 190 Macabeyi (125,972,391) and 191 viking 22 (122,771,308), observed adjacent in the same panel: YES]</t>
        </is>
      </c>
      <c r="F201" s="29" t="n">
        <v>123821196</v>
      </c>
      <c r="G201" s="29" t="n">
        <v>1217214211</v>
      </c>
      <c r="H201" s="29" t="n">
        <v>91334778</v>
      </c>
      <c r="I201" s="29" t="n">
        <v>115342329</v>
      </c>
      <c r="J201" s="29" t="n">
        <v>1302918192</v>
      </c>
      <c r="K201" s="29" t="n">
        <v>0</v>
      </c>
      <c r="L201" s="30">
        <f>I201-F201</f>
        <v/>
      </c>
      <c r="M201" s="30">
        <f>IFERROR((I201-F201)/F201,"")</f>
        <v/>
      </c>
      <c r="N201" s="30">
        <f>J201-G201</f>
        <v/>
      </c>
      <c r="O201" s="30">
        <f>IFERROR((J201-G201)/G201,"")</f>
        <v/>
      </c>
      <c r="P201" s="30">
        <f>K201-H201</f>
        <v/>
      </c>
    </row>
    <row r="202">
      <c r="A202" s="28" t="n">
        <v>198</v>
      </c>
      <c r="B202" s="28" t="inlineStr">
        <is>
          <t>R350-0217</t>
        </is>
      </c>
      <c r="C202" s="28" t="inlineStr">
        <is>
          <t>kira21</t>
        </is>
      </c>
      <c r="D202" s="28" t="inlineStr">
        <is>
          <t>kira is sleepy</t>
        </is>
      </c>
      <c r="E202" s="28" t="inlineStr">
        <is>
          <t>Renamed per Chow (NOT a departure, NOT a newcomer): kira21 = kira is sleepy; canonical name kept kira21, screen name kira is sleepy to aliases. Power -22.09% (KVK fighting), KP +3.48%. [Video evidence was: Only in D1 - evidence A: Power falls between D2 rows 191 viking 22 (122,771,308) and 192 TarunPy (119,730,710), observed adjacent in the same panel: YES - explained by rename + Power drop to D2 row 194.]</t>
        </is>
      </c>
      <c r="F202" s="29" t="n">
        <v>120776143</v>
      </c>
      <c r="G202" s="29" t="n">
        <v>454360373</v>
      </c>
      <c r="H202" s="29" t="n">
        <v>841000</v>
      </c>
      <c r="I202" s="29" t="n">
        <v>94094747</v>
      </c>
      <c r="J202" s="29" t="n">
        <v>470155550</v>
      </c>
      <c r="K202" s="29" t="n">
        <v>1433100</v>
      </c>
      <c r="L202" s="30">
        <f>I202-F202</f>
        <v/>
      </c>
      <c r="M202" s="30">
        <f>IFERROR((I202-F202)/F202,"")</f>
        <v/>
      </c>
      <c r="N202" s="30">
        <f>J202-G202</f>
        <v/>
      </c>
      <c r="O202" s="30">
        <f>IFERROR((J202-G202)/G202,"")</f>
        <v/>
      </c>
      <c r="P202" s="30">
        <f>K202-H202</f>
        <v/>
      </c>
    </row>
    <row r="203">
      <c r="A203" s="31" t="n">
        <v>199</v>
      </c>
      <c r="B203" s="31" t="inlineStr"/>
      <c r="C203" s="31" t="inlineStr"/>
      <c r="D203" s="31" t="inlineStr">
        <is>
          <t>Grigoryan</t>
        </is>
      </c>
      <c r="E203" s="31" t="inlineStr">
        <is>
          <t>REJOIN CONFIRMED per Chow: R350-0254 Grigoryan (absent since 2026-10-26, returned 31/10; dKP +1.05%, dPower -0.61%). Original candidates were: R350-0254 Grigoryan 0.209%/day; R350-0019 Kral38 1.523%/day; R350-0040 Pisos 3.306%/day; R350-0177 Piyush 5.828%/day; R350-0134 darkhof 9.535%/day.</t>
        </is>
      </c>
      <c r="F203" s="32" t="n"/>
      <c r="G203" s="32" t="n"/>
      <c r="H203" s="32" t="n"/>
      <c r="I203" s="32" t="n">
        <v>207688462</v>
      </c>
      <c r="J203" s="32" t="n">
        <v>16901319156</v>
      </c>
      <c r="K203" s="32" t="n">
        <v>0</v>
      </c>
      <c r="L203" s="33" t="n"/>
      <c r="M203" s="33" t="n"/>
      <c r="N203" s="33" t="n"/>
      <c r="O203" s="33" t="n"/>
      <c r="P203" s="33" t="n"/>
    </row>
    <row r="204">
      <c r="A204" s="31" t="n">
        <v>200</v>
      </c>
      <c r="B204" s="31" t="inlineStr"/>
      <c r="C204" s="31" t="inlineStr"/>
      <c r="D204" s="31" t="inlineStr">
        <is>
          <t>ТОНИГАН</t>
        </is>
      </c>
      <c r="E204" s="31" t="inlineStr">
        <is>
          <t>REJOIN CONFIRMED per Chow: R350-0163 TONIGAN (absent since 2026-09-06, returned 31/10; dKP +2.95%, dPower +17.31%). Original candidates were: R350-0163 TONIGAN 0.054%/day; R350-0139 VotTakVot 0.169%/day; R350-0166 RoryWest 0.175%/day; R350-0192 kwitchypoo 0.257%/day; R350-0168 Nana 0.266%/day.</t>
        </is>
      </c>
      <c r="F204" s="32" t="n"/>
      <c r="G204" s="32" t="n"/>
      <c r="H204" s="32" t="n"/>
      <c r="I204" s="32" t="n">
        <v>180271383</v>
      </c>
      <c r="J204" s="32" t="n">
        <v>1325607869</v>
      </c>
      <c r="K204" s="32" t="n">
        <v>74400</v>
      </c>
      <c r="L204" s="33" t="n"/>
      <c r="M204" s="33" t="n"/>
      <c r="N204" s="33" t="n"/>
      <c r="O204" s="33" t="n"/>
      <c r="P204" s="33" t="n"/>
    </row>
    <row r="205">
      <c r="A205" s="31" t="n">
        <v>201</v>
      </c>
      <c r="B205" s="31" t="inlineStr"/>
      <c r="C205" s="31" t="inlineStr"/>
      <c r="D205" s="31" t="inlineStr">
        <is>
          <t>kira is sleepy</t>
        </is>
      </c>
      <c r="E205" s="31" t="inlineStr">
        <is>
          <t>MERGED into R350-0217 kira21 per Chow (same person) - see row 202; do not count separately.</t>
        </is>
      </c>
      <c r="F205" s="32" t="n"/>
      <c r="G205" s="32" t="n"/>
      <c r="H205" s="32" t="n"/>
      <c r="I205" s="32" t="n"/>
      <c r="J205" s="32" t="n"/>
      <c r="K205" s="32" t="n"/>
      <c r="L205" s="33" t="n"/>
      <c r="M205" s="33" t="n"/>
      <c r="N205" s="33" t="n"/>
      <c r="O205" s="33" t="n"/>
      <c r="P205" s="33" t="n"/>
    </row>
    <row r="206">
      <c r="C206" s="34" t="inlineStr">
        <is>
          <t>TOTAL</t>
        </is>
      </c>
      <c r="F206" s="35">
        <f>SUM(F5:F205)</f>
        <v/>
      </c>
      <c r="G206" s="35">
        <f>SUM(G5:G205)</f>
        <v/>
      </c>
      <c r="H206" s="35">
        <f>SUM(H5:H205)</f>
        <v/>
      </c>
      <c r="I206" s="35">
        <f>SUM(I5:I205)</f>
        <v/>
      </c>
      <c r="J206" s="35">
        <f>SUM(J5:J205)</f>
        <v/>
      </c>
      <c r="K206" s="35">
        <f>SUM(K5:K205)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18" customWidth="1" min="3" max="3"/>
    <col width="18" customWidth="1" min="4" max="4"/>
    <col width="16" customWidth="1" min="5" max="5"/>
    <col width="12" customWidth="1" min="6" max="6"/>
    <col width="14" customWidth="1" min="7" max="7"/>
    <col width="22" customWidth="1" min="8" max="8"/>
    <col width="18" customWidth="1" min="9" max="9"/>
    <col width="60" customWidth="1" min="10" max="10"/>
    <col width="11" customWidth="1" min="11" max="11"/>
    <col width="18" customWidth="1" min="12" max="12"/>
  </cols>
  <sheetData>
    <row r="1">
      <c r="A1" s="1" t="inlineStr">
        <is>
          <t>Summary  -  2026-10-27 vs 2026-10-31</t>
        </is>
      </c>
    </row>
    <row r="3">
      <c r="A3" s="3" t="inlineStr">
        <is>
          <t>Metric</t>
        </is>
      </c>
      <c r="B3" s="3" t="inlineStr">
        <is>
          <t>D1 (2026-10-27)</t>
        </is>
      </c>
      <c r="C3" s="3" t="inlineStr">
        <is>
          <t>D2 (2026-10-31)</t>
        </is>
      </c>
      <c r="D3" s="3" t="inlineStr">
        <is>
          <t>Δ</t>
        </is>
      </c>
      <c r="E3" s="3" t="inlineStr">
        <is>
          <t>Δ %</t>
        </is>
      </c>
    </row>
    <row r="4">
      <c r="A4" s="4" t="inlineStr">
        <is>
          <t>Members</t>
        </is>
      </c>
      <c r="B4" s="4">
        <f>COUNT(Comparison!F5:F205)</f>
        <v/>
      </c>
      <c r="C4" s="4">
        <f>COUNT(Comparison!I5:I205)</f>
        <v/>
      </c>
      <c r="D4" s="4">
        <f>C4-B4</f>
        <v/>
      </c>
      <c r="E4" s="36">
        <f>IFERROR((C4-B4)/B4,"")</f>
        <v/>
      </c>
    </row>
    <row r="5">
      <c r="A5" s="4" t="inlineStr">
        <is>
          <t>Tribe Power</t>
        </is>
      </c>
      <c r="B5" s="4">
        <f>Comparison!F206</f>
        <v/>
      </c>
      <c r="C5" s="4">
        <f>Comparison!I206</f>
        <v/>
      </c>
      <c r="D5" s="4">
        <f>C5-B5</f>
        <v/>
      </c>
      <c r="E5" s="36">
        <f>IFERROR((C5-B5)/B5,"")</f>
        <v/>
      </c>
    </row>
    <row r="6">
      <c r="A6" s="4" t="inlineStr">
        <is>
          <t>Tribe Kill Points</t>
        </is>
      </c>
      <c r="B6" s="4">
        <f>Comparison!G206</f>
        <v/>
      </c>
      <c r="C6" s="4">
        <f>Comparison!J206</f>
        <v/>
      </c>
      <c r="D6" s="4">
        <f>C6-B6</f>
        <v/>
      </c>
      <c r="E6" s="36">
        <f>IFERROR((C6-B6)/B6,"")</f>
        <v/>
      </c>
    </row>
    <row r="7">
      <c r="A7" s="4" t="inlineStr">
        <is>
          <t>Tribe Activity Points</t>
        </is>
      </c>
      <c r="B7" s="4">
        <f>Comparison!H206</f>
        <v/>
      </c>
      <c r="C7" s="4">
        <f>Comparison!K206</f>
        <v/>
      </c>
      <c r="D7" s="4">
        <f>C7-B7</f>
        <v/>
      </c>
      <c r="E7" s="36">
        <f>IFERROR((C7-B7)/B7,"")</f>
        <v/>
      </c>
    </row>
    <row r="10">
      <c r="A10" s="34" t="inlineStr">
        <is>
          <t>Table 1 - Top 20 Kill Points increase</t>
        </is>
      </c>
    </row>
    <row r="11">
      <c r="A11" s="3" t="inlineStr">
        <is>
          <t>#</t>
        </is>
      </c>
      <c r="B11" s="3" t="inlineStr">
        <is>
          <t>Member Name</t>
        </is>
      </c>
      <c r="C11" s="3" t="inlineStr">
        <is>
          <t>Kill Pts (D1)</t>
        </is>
      </c>
      <c r="D11" s="3" t="inlineStr">
        <is>
          <t>Kill Pts (D2)</t>
        </is>
      </c>
      <c r="E11" s="3" t="inlineStr">
        <is>
          <t>Δ Kill Pts</t>
        </is>
      </c>
      <c r="F11" s="3" t="inlineStr">
        <is>
          <t>Note</t>
        </is>
      </c>
    </row>
    <row r="12">
      <c r="A12" s="37" t="n">
        <v>1</v>
      </c>
      <c r="B12" s="37" t="inlineStr">
        <is>
          <t>Единств</t>
        </is>
      </c>
      <c r="C12" s="38" t="n">
        <v>75013750172</v>
      </c>
      <c r="D12" s="38" t="n">
        <v>81945369415</v>
      </c>
      <c r="E12" s="39" t="n">
        <v>6931619243</v>
      </c>
      <c r="F12" s="37" t="inlineStr">
        <is>
          <t>R350-0002</t>
        </is>
      </c>
    </row>
    <row r="13">
      <c r="A13" s="40" t="n">
        <v>2</v>
      </c>
      <c r="B13" s="40" t="inlineStr">
        <is>
          <t>MONSTER DONG</t>
        </is>
      </c>
      <c r="C13" s="41" t="n">
        <v>33381976573</v>
      </c>
      <c r="D13" s="41" t="n">
        <v>37800476342</v>
      </c>
      <c r="E13" s="42" t="n">
        <v>4418499769</v>
      </c>
      <c r="F13" s="40" t="inlineStr">
        <is>
          <t>R350-0027</t>
        </is>
      </c>
    </row>
    <row r="14">
      <c r="A14" s="43" t="n">
        <v>3</v>
      </c>
      <c r="B14" s="43" t="inlineStr">
        <is>
          <t>Timmeee</t>
        </is>
      </c>
      <c r="C14" s="44" t="n">
        <v>36567206144</v>
      </c>
      <c r="D14" s="44" t="n">
        <v>40536645453</v>
      </c>
      <c r="E14" s="45" t="n">
        <v>3969439309</v>
      </c>
      <c r="F14" s="43" t="inlineStr">
        <is>
          <t>R350-0004</t>
        </is>
      </c>
    </row>
    <row r="15">
      <c r="A15" s="2" t="n">
        <v>4</v>
      </c>
      <c r="B15" s="2" t="inlineStr">
        <is>
          <t>FinistBrFalcon</t>
        </is>
      </c>
      <c r="C15" s="4" t="n">
        <v>30117120688</v>
      </c>
      <c r="D15" s="4" t="n">
        <v>33548535880</v>
      </c>
      <c r="E15" s="7" t="n">
        <v>3431415192</v>
      </c>
      <c r="F15" s="2" t="inlineStr">
        <is>
          <t>R350-0250</t>
        </is>
      </c>
    </row>
    <row r="16">
      <c r="A16" s="2" t="n">
        <v>5</v>
      </c>
      <c r="B16" s="2" t="inlineStr">
        <is>
          <t>Чугуш</t>
        </is>
      </c>
      <c r="C16" s="4" t="n">
        <v>44538316209</v>
      </c>
      <c r="D16" s="4" t="n">
        <v>47163075927</v>
      </c>
      <c r="E16" s="7" t="n">
        <v>2624759718</v>
      </c>
      <c r="F16" s="2" t="inlineStr">
        <is>
          <t>R350-0001</t>
        </is>
      </c>
    </row>
    <row r="17">
      <c r="A17" s="2" t="n">
        <v>6</v>
      </c>
      <c r="B17" s="2" t="inlineStr">
        <is>
          <t>Shebeastinem</t>
        </is>
      </c>
      <c r="C17" s="4" t="n">
        <v>45548248984</v>
      </c>
      <c r="D17" s="4" t="n">
        <v>48145823364</v>
      </c>
      <c r="E17" s="7" t="n">
        <v>2597574380</v>
      </c>
      <c r="F17" s="2" t="inlineStr">
        <is>
          <t>R350-0014</t>
        </is>
      </c>
    </row>
    <row r="18">
      <c r="A18" s="2" t="n">
        <v>7</v>
      </c>
      <c r="B18" s="2" t="inlineStr">
        <is>
          <t>ASTERION</t>
        </is>
      </c>
      <c r="C18" s="4" t="n">
        <v>29352192962</v>
      </c>
      <c r="D18" s="4" t="n">
        <v>30890317548</v>
      </c>
      <c r="E18" s="7" t="n">
        <v>1538124586</v>
      </c>
      <c r="F18" s="2" t="inlineStr">
        <is>
          <t>R350-0005</t>
        </is>
      </c>
    </row>
    <row r="19">
      <c r="A19" s="2" t="n">
        <v>8</v>
      </c>
      <c r="B19" s="2" t="inlineStr">
        <is>
          <t>Lastangel001</t>
        </is>
      </c>
      <c r="C19" s="4" t="n">
        <v>21663422094</v>
      </c>
      <c r="D19" s="4" t="n">
        <v>22906829035</v>
      </c>
      <c r="E19" s="7" t="n">
        <v>1243406941</v>
      </c>
      <c r="F19" s="2" t="inlineStr">
        <is>
          <t>R350-0007</t>
        </is>
      </c>
    </row>
    <row r="20">
      <c r="A20" s="2" t="n">
        <v>9</v>
      </c>
      <c r="B20" s="2" t="inlineStr">
        <is>
          <t>ZVYAG</t>
        </is>
      </c>
      <c r="C20" s="4" t="n">
        <v>18657935967</v>
      </c>
      <c r="D20" s="4" t="n">
        <v>19719179441</v>
      </c>
      <c r="E20" s="7" t="n">
        <v>1061243474</v>
      </c>
      <c r="F20" s="2" t="inlineStr">
        <is>
          <t>R350-0018</t>
        </is>
      </c>
    </row>
    <row r="21">
      <c r="A21" s="2" t="n">
        <v>10</v>
      </c>
      <c r="B21" s="2" t="inlineStr">
        <is>
          <t>Cookies</t>
        </is>
      </c>
      <c r="C21" s="4" t="n">
        <v>22203386027</v>
      </c>
      <c r="D21" s="4" t="n">
        <v>23092079163</v>
      </c>
      <c r="E21" s="7" t="n">
        <v>888693136</v>
      </c>
      <c r="F21" s="2" t="inlineStr">
        <is>
          <t>R350-0013</t>
        </is>
      </c>
    </row>
    <row r="22">
      <c r="A22" s="2" t="n">
        <v>11</v>
      </c>
      <c r="B22" s="2" t="inlineStr">
        <is>
          <t>Barb</t>
        </is>
      </c>
      <c r="C22" s="4" t="n">
        <v>17412187389</v>
      </c>
      <c r="D22" s="4" t="n">
        <v>18225667018</v>
      </c>
      <c r="E22" s="7" t="n">
        <v>813479629</v>
      </c>
      <c r="F22" s="2" t="inlineStr">
        <is>
          <t>R350-0093</t>
        </is>
      </c>
    </row>
    <row r="23">
      <c r="A23" s="2" t="n">
        <v>12</v>
      </c>
      <c r="B23" s="2" t="inlineStr">
        <is>
          <t>llllllllll</t>
        </is>
      </c>
      <c r="C23" s="4" t="n">
        <v>9398379123</v>
      </c>
      <c r="D23" s="4" t="n">
        <v>10206524626</v>
      </c>
      <c r="E23" s="7" t="n">
        <v>808145503</v>
      </c>
      <c r="F23" s="2" t="inlineStr">
        <is>
          <t>R350-0044</t>
        </is>
      </c>
    </row>
    <row r="24">
      <c r="A24" s="2" t="n">
        <v>13</v>
      </c>
      <c r="B24" s="2" t="inlineStr">
        <is>
          <t>CRx StalinIV</t>
        </is>
      </c>
      <c r="C24" s="4" t="n">
        <v>11857465931</v>
      </c>
      <c r="D24" s="4" t="n">
        <v>12652779991</v>
      </c>
      <c r="E24" s="7" t="n">
        <v>795314060</v>
      </c>
      <c r="F24" s="2" t="inlineStr">
        <is>
          <t>R350-0008</t>
        </is>
      </c>
    </row>
    <row r="25">
      <c r="A25" s="2" t="n">
        <v>14</v>
      </c>
      <c r="B25" s="2" t="inlineStr">
        <is>
          <t>Belka</t>
        </is>
      </c>
      <c r="C25" s="4" t="n">
        <v>11247896200</v>
      </c>
      <c r="D25" s="4" t="n">
        <v>12027724734</v>
      </c>
      <c r="E25" s="7" t="n">
        <v>779828534</v>
      </c>
      <c r="F25" s="2" t="inlineStr">
        <is>
          <t>R350-0020</t>
        </is>
      </c>
    </row>
    <row r="26">
      <c r="A26" s="2" t="n">
        <v>15</v>
      </c>
      <c r="B26" s="2" t="inlineStr">
        <is>
          <t>Colt Canon</t>
        </is>
      </c>
      <c r="C26" s="4" t="n">
        <v>13600321862</v>
      </c>
      <c r="D26" s="4" t="n">
        <v>14359276654</v>
      </c>
      <c r="E26" s="7" t="n">
        <v>758954792</v>
      </c>
      <c r="F26" s="2" t="inlineStr">
        <is>
          <t>R350-0017</t>
        </is>
      </c>
    </row>
    <row r="27">
      <c r="A27" s="2" t="n">
        <v>16</v>
      </c>
      <c r="B27" s="2" t="inlineStr">
        <is>
          <t>Nephrite</t>
        </is>
      </c>
      <c r="C27" s="4" t="n">
        <v>9069970206</v>
      </c>
      <c r="D27" s="4" t="n">
        <v>9805740186</v>
      </c>
      <c r="E27" s="7" t="n">
        <v>735769980</v>
      </c>
      <c r="F27" s="2" t="inlineStr">
        <is>
          <t>R350-0033</t>
        </is>
      </c>
    </row>
    <row r="28">
      <c r="A28" s="2" t="n">
        <v>17</v>
      </c>
      <c r="B28" s="2" t="inlineStr">
        <is>
          <t>HellHool</t>
        </is>
      </c>
      <c r="C28" s="4" t="n">
        <v>5884546239</v>
      </c>
      <c r="D28" s="4" t="n">
        <v>6605876763</v>
      </c>
      <c r="E28" s="7" t="n">
        <v>721330524</v>
      </c>
      <c r="F28" s="2" t="inlineStr">
        <is>
          <t>R350-0253</t>
        </is>
      </c>
    </row>
    <row r="29">
      <c r="A29" s="2" t="n">
        <v>18</v>
      </c>
      <c r="B29" s="2" t="inlineStr">
        <is>
          <t>GoJoeGo</t>
        </is>
      </c>
      <c r="C29" s="4" t="n">
        <v>8594135106</v>
      </c>
      <c r="D29" s="4" t="n">
        <v>9305194453</v>
      </c>
      <c r="E29" s="7" t="n">
        <v>711059347</v>
      </c>
      <c r="F29" s="2" t="inlineStr">
        <is>
          <t>R350-0029</t>
        </is>
      </c>
    </row>
    <row r="30">
      <c r="A30" s="2" t="n">
        <v>19</v>
      </c>
      <c r="B30" s="2" t="inlineStr">
        <is>
          <t>DEATH INC</t>
        </is>
      </c>
      <c r="C30" s="4" t="n">
        <v>15395466979</v>
      </c>
      <c r="D30" s="4" t="n">
        <v>16055736882</v>
      </c>
      <c r="E30" s="7" t="n">
        <v>660269903</v>
      </c>
      <c r="F30" s="2" t="inlineStr">
        <is>
          <t>R350-0031</t>
        </is>
      </c>
    </row>
    <row r="31">
      <c r="A31" s="2" t="n">
        <v>20</v>
      </c>
      <c r="B31" s="2" t="inlineStr">
        <is>
          <t>DANIEL SHEHU</t>
        </is>
      </c>
      <c r="C31" s="4" t="n">
        <v>23063477575</v>
      </c>
      <c r="D31" s="4" t="n">
        <v>23722503553</v>
      </c>
      <c r="E31" s="7" t="n">
        <v>659025978</v>
      </c>
      <c r="F31" s="2" t="inlineStr">
        <is>
          <t>R350-0021</t>
        </is>
      </c>
    </row>
    <row r="33">
      <c r="A33" s="34" t="inlineStr">
        <is>
          <t>Table 2 - Top 20 Power drop</t>
        </is>
      </c>
    </row>
    <row r="34">
      <c r="A34" s="3" t="inlineStr">
        <is>
          <t>#</t>
        </is>
      </c>
      <c r="B34" s="3" t="inlineStr">
        <is>
          <t>Member Name</t>
        </is>
      </c>
      <c r="C34" s="3" t="inlineStr">
        <is>
          <t>Power D1</t>
        </is>
      </c>
      <c r="D34" s="3" t="inlineStr">
        <is>
          <t>Power D2</t>
        </is>
      </c>
      <c r="E34" s="3" t="inlineStr">
        <is>
          <t>Δ Power (abs)</t>
        </is>
      </c>
      <c r="F34" s="3" t="inlineStr">
        <is>
          <t>Δ Power %</t>
        </is>
      </c>
      <c r="G34" s="3" t="inlineStr">
        <is>
          <t>Kill Pts D2</t>
        </is>
      </c>
      <c r="H34" s="3" t="inlineStr">
        <is>
          <t>Note</t>
        </is>
      </c>
    </row>
    <row r="35">
      <c r="A35" s="28" t="n">
        <v>1</v>
      </c>
      <c r="B35" s="28" t="inlineStr">
        <is>
          <t>ТагилРу</t>
        </is>
      </c>
      <c r="C35" s="29" t="n">
        <v>173000563</v>
      </c>
      <c r="D35" s="29" t="n">
        <v>119730710</v>
      </c>
      <c r="E35" s="46" t="n">
        <v>-53269853</v>
      </c>
      <c r="F35" s="47" t="n">
        <v>-0.3079172233676488</v>
      </c>
      <c r="G35" s="29" t="n">
        <v>1242764131</v>
      </c>
      <c r="H35" s="28" t="inlineStr">
        <is>
          <t>R350-0133</t>
        </is>
      </c>
    </row>
    <row r="36">
      <c r="A36" s="28" t="n">
        <v>2</v>
      </c>
      <c r="B36" s="28" t="inlineStr">
        <is>
          <t>Lastangel001</t>
        </is>
      </c>
      <c r="C36" s="29" t="n">
        <v>288362799</v>
      </c>
      <c r="D36" s="29" t="n">
        <v>256056577</v>
      </c>
      <c r="E36" s="46" t="n">
        <v>-32306222</v>
      </c>
      <c r="F36" s="47" t="n">
        <v>-0.1120332515568348</v>
      </c>
      <c r="G36" s="29" t="n">
        <v>22906829035</v>
      </c>
      <c r="H36" s="28" t="inlineStr">
        <is>
          <t>R350-0007</t>
        </is>
      </c>
    </row>
    <row r="37">
      <c r="A37" s="28" t="n">
        <v>3</v>
      </c>
      <c r="B37" s="28" t="inlineStr">
        <is>
          <t>Doc7Ragnar</t>
        </is>
      </c>
      <c r="C37" s="29" t="n">
        <v>171549030</v>
      </c>
      <c r="D37" s="29" t="n">
        <v>141180397</v>
      </c>
      <c r="E37" s="46" t="n">
        <v>-30368633</v>
      </c>
      <c r="F37" s="47" t="n">
        <v>-0.1770259674449922</v>
      </c>
      <c r="G37" s="29" t="n">
        <v>1031703025</v>
      </c>
      <c r="H37" s="28" t="inlineStr">
        <is>
          <t>R350-0123</t>
        </is>
      </c>
    </row>
    <row r="38">
      <c r="A38" s="2" t="n">
        <v>4</v>
      </c>
      <c r="B38" s="2" t="inlineStr">
        <is>
          <t>Be3yhunk</t>
        </is>
      </c>
      <c r="C38" s="4" t="n">
        <v>230487441</v>
      </c>
      <c r="D38" s="4" t="n">
        <v>200385940</v>
      </c>
      <c r="E38" s="5" t="n">
        <v>-30101501</v>
      </c>
      <c r="F38" s="6" t="n">
        <v>-0.1305993110487959</v>
      </c>
      <c r="G38" s="4" t="n">
        <v>4856437113</v>
      </c>
      <c r="H38" s="2" t="inlineStr">
        <is>
          <t>R350-0034</t>
        </is>
      </c>
    </row>
    <row r="39">
      <c r="A39" s="2" t="n">
        <v>5</v>
      </c>
      <c r="B39" s="2" t="inlineStr">
        <is>
          <t>Belka</t>
        </is>
      </c>
      <c r="C39" s="4" t="n">
        <v>220586764</v>
      </c>
      <c r="D39" s="4" t="n">
        <v>195100845</v>
      </c>
      <c r="E39" s="5" t="n">
        <v>-25485919</v>
      </c>
      <c r="F39" s="6" t="n">
        <v>-0.1155369367492965</v>
      </c>
      <c r="G39" s="4" t="n">
        <v>12027724734</v>
      </c>
      <c r="H39" s="2" t="inlineStr">
        <is>
          <t>R350-0020</t>
        </is>
      </c>
    </row>
    <row r="40">
      <c r="A40" s="2" t="n">
        <v>6</v>
      </c>
      <c r="B40" s="2" t="inlineStr">
        <is>
          <t>Frozen</t>
        </is>
      </c>
      <c r="C40" s="4" t="n">
        <v>239663468</v>
      </c>
      <c r="D40" s="4" t="n">
        <v>215247797</v>
      </c>
      <c r="E40" s="5" t="n">
        <v>-24415671</v>
      </c>
      <c r="F40" s="6" t="n">
        <v>-0.1018748130607874</v>
      </c>
      <c r="G40" s="4" t="n">
        <v>2522403021</v>
      </c>
      <c r="H40" s="2" t="inlineStr">
        <is>
          <t>R350-0030</t>
        </is>
      </c>
    </row>
    <row r="41">
      <c r="A41" s="2" t="n">
        <v>7</v>
      </c>
      <c r="B41" s="2" t="inlineStr">
        <is>
          <t>zapekanka</t>
        </is>
      </c>
      <c r="C41" s="4" t="n">
        <v>182785268</v>
      </c>
      <c r="D41" s="4" t="n">
        <v>161558801</v>
      </c>
      <c r="E41" s="5" t="n">
        <v>-21226467</v>
      </c>
      <c r="F41" s="6" t="n">
        <v>-0.1161278872868463</v>
      </c>
      <c r="G41" s="4" t="n">
        <v>3096563990</v>
      </c>
      <c r="H41" s="2" t="inlineStr">
        <is>
          <t>R350-0068</t>
        </is>
      </c>
    </row>
    <row r="42">
      <c r="A42" s="2" t="n">
        <v>8</v>
      </c>
      <c r="B42" s="2" t="inlineStr">
        <is>
          <t>Phá Quân</t>
        </is>
      </c>
      <c r="C42" s="4" t="n">
        <v>227224634</v>
      </c>
      <c r="D42" s="4" t="n">
        <v>207057748</v>
      </c>
      <c r="E42" s="5" t="n">
        <v>-20166886</v>
      </c>
      <c r="F42" s="6" t="n">
        <v>-0.08875307947464886</v>
      </c>
      <c r="G42" s="4" t="n">
        <v>2223690599</v>
      </c>
      <c r="H42" s="2" t="inlineStr">
        <is>
          <t>R350-0032</t>
        </is>
      </c>
    </row>
    <row r="43">
      <c r="A43" s="2" t="n">
        <v>9</v>
      </c>
      <c r="B43" s="2" t="inlineStr">
        <is>
          <t>Laland</t>
        </is>
      </c>
      <c r="C43" s="4" t="n">
        <v>172101968</v>
      </c>
      <c r="D43" s="4" t="n">
        <v>152498071</v>
      </c>
      <c r="E43" s="5" t="n">
        <v>-19603897</v>
      </c>
      <c r="F43" s="6" t="n">
        <v>-0.1139086160827632</v>
      </c>
      <c r="G43" s="4" t="n">
        <v>1218747594</v>
      </c>
      <c r="H43" s="2" t="inlineStr">
        <is>
          <t>R350-0128</t>
        </is>
      </c>
    </row>
    <row r="44">
      <c r="A44" s="2" t="n">
        <v>10</v>
      </c>
      <c r="B44" s="2" t="inlineStr">
        <is>
          <t>Phúc XO</t>
        </is>
      </c>
      <c r="C44" s="4" t="n">
        <v>203382515</v>
      </c>
      <c r="D44" s="4" t="n">
        <v>184077486</v>
      </c>
      <c r="E44" s="5" t="n">
        <v>-19305029</v>
      </c>
      <c r="F44" s="6" t="n">
        <v>-0.09491980665102898</v>
      </c>
      <c r="G44" s="4" t="n">
        <v>2787202726</v>
      </c>
      <c r="H44" s="2" t="inlineStr">
        <is>
          <t>R350-0037</t>
        </is>
      </c>
    </row>
    <row r="45">
      <c r="A45" s="2" t="n">
        <v>11</v>
      </c>
      <c r="B45" s="2" t="inlineStr">
        <is>
          <t>Enem</t>
        </is>
      </c>
      <c r="C45" s="4" t="n">
        <v>151559726</v>
      </c>
      <c r="D45" s="4" t="n">
        <v>132715306</v>
      </c>
      <c r="E45" s="5" t="n">
        <v>-18844420</v>
      </c>
      <c r="F45" s="6" t="n">
        <v>-0.1243365932187024</v>
      </c>
      <c r="G45" s="4" t="n">
        <v>3855543662</v>
      </c>
      <c r="H45" s="2" t="inlineStr">
        <is>
          <t>R350-0160</t>
        </is>
      </c>
    </row>
    <row r="46">
      <c r="A46" s="2" t="n">
        <v>12</v>
      </c>
      <c r="B46" s="2" t="inlineStr">
        <is>
          <t>Macabeyi</t>
        </is>
      </c>
      <c r="C46" s="4" t="n">
        <v>144507847</v>
      </c>
      <c r="D46" s="4" t="n">
        <v>125972391</v>
      </c>
      <c r="E46" s="5" t="n">
        <v>-18535456</v>
      </c>
      <c r="F46" s="6" t="n">
        <v>-0.128266086477643</v>
      </c>
      <c r="G46" s="4" t="n">
        <v>4226985271</v>
      </c>
      <c r="H46" s="2" t="inlineStr">
        <is>
          <t>R350-0144</t>
        </is>
      </c>
    </row>
    <row r="47">
      <c r="A47" s="2" t="n">
        <v>13</v>
      </c>
      <c r="B47" s="2" t="inlineStr">
        <is>
          <t>Grace</t>
        </is>
      </c>
      <c r="C47" s="4" t="n">
        <v>181258415</v>
      </c>
      <c r="D47" s="4" t="n">
        <v>164210541</v>
      </c>
      <c r="E47" s="5" t="n">
        <v>-17047874</v>
      </c>
      <c r="F47" s="6" t="n">
        <v>-0.09405286921437551</v>
      </c>
      <c r="G47" s="4" t="n">
        <v>2338872513</v>
      </c>
      <c r="H47" s="2" t="inlineStr">
        <is>
          <t>R350-0054</t>
        </is>
      </c>
    </row>
    <row r="48">
      <c r="A48" s="2" t="n">
        <v>14</v>
      </c>
      <c r="B48" s="2" t="inlineStr">
        <is>
          <t>54oLeNkA54</t>
        </is>
      </c>
      <c r="C48" s="4" t="n">
        <v>170758728</v>
      </c>
      <c r="D48" s="4" t="n">
        <v>154922685</v>
      </c>
      <c r="E48" s="5" t="n">
        <v>-15836043</v>
      </c>
      <c r="F48" s="6" t="n">
        <v>-0.09273928885204626</v>
      </c>
      <c r="G48" s="4" t="n">
        <v>1110094315</v>
      </c>
      <c r="H48" s="2" t="inlineStr">
        <is>
          <t>R350-0122</t>
        </is>
      </c>
    </row>
    <row r="49">
      <c r="A49" s="2" t="n">
        <v>15</v>
      </c>
      <c r="B49" s="2" t="inlineStr">
        <is>
          <t>skywraith</t>
        </is>
      </c>
      <c r="C49" s="4" t="n">
        <v>269883465</v>
      </c>
      <c r="D49" s="4" t="n">
        <v>255337357</v>
      </c>
      <c r="E49" s="5" t="n">
        <v>-14546108</v>
      </c>
      <c r="F49" s="6" t="n">
        <v>-0.05389773693619948</v>
      </c>
      <c r="G49" s="4" t="n">
        <v>9266715671</v>
      </c>
      <c r="H49" s="2" t="inlineStr">
        <is>
          <t>R350-0006</t>
        </is>
      </c>
    </row>
    <row r="50">
      <c r="A50" s="2" t="n">
        <v>16</v>
      </c>
      <c r="B50" s="2" t="inlineStr">
        <is>
          <t>Cokon 1000</t>
        </is>
      </c>
      <c r="C50" s="4" t="n">
        <v>200203256</v>
      </c>
      <c r="D50" s="4" t="n">
        <v>185807724</v>
      </c>
      <c r="E50" s="5" t="n">
        <v>-14395532</v>
      </c>
      <c r="F50" s="6" t="n">
        <v>-0.07190458480855076</v>
      </c>
      <c r="G50" s="4" t="n">
        <v>2155916063</v>
      </c>
      <c r="H50" s="2" t="inlineStr">
        <is>
          <t>R350-0100</t>
        </is>
      </c>
    </row>
    <row r="51">
      <c r="A51" s="2" t="n">
        <v>17</v>
      </c>
      <c r="B51" s="2" t="inlineStr">
        <is>
          <t>Cold Blood</t>
        </is>
      </c>
      <c r="C51" s="4" t="n">
        <v>147325226</v>
      </c>
      <c r="D51" s="4" t="n">
        <v>132944658</v>
      </c>
      <c r="E51" s="5" t="n">
        <v>-14380568</v>
      </c>
      <c r="F51" s="6" t="n">
        <v>-0.09761103641544727</v>
      </c>
      <c r="G51" s="4" t="n">
        <v>1547465516</v>
      </c>
      <c r="H51" s="2" t="inlineStr">
        <is>
          <t>R350-0176</t>
        </is>
      </c>
    </row>
    <row r="52">
      <c r="A52" s="2" t="n">
        <v>18</v>
      </c>
      <c r="B52" s="2" t="inlineStr">
        <is>
          <t>TikiCat</t>
        </is>
      </c>
      <c r="C52" s="4" t="n">
        <v>241226970</v>
      </c>
      <c r="D52" s="4" t="n">
        <v>227329036</v>
      </c>
      <c r="E52" s="5" t="n">
        <v>-13897934</v>
      </c>
      <c r="F52" s="6" t="n">
        <v>-0.05761351643226294</v>
      </c>
      <c r="G52" s="4" t="n">
        <v>10085298941</v>
      </c>
      <c r="H52" s="2" t="inlineStr">
        <is>
          <t>R350-0015</t>
        </is>
      </c>
    </row>
    <row r="53">
      <c r="A53" s="2" t="n">
        <v>19</v>
      </c>
      <c r="B53" s="2" t="inlineStr">
        <is>
          <t>MR HuyCuong90</t>
        </is>
      </c>
      <c r="C53" s="4" t="n">
        <v>157525189</v>
      </c>
      <c r="D53" s="4" t="n">
        <v>144170435</v>
      </c>
      <c r="E53" s="5" t="n">
        <v>-13354754</v>
      </c>
      <c r="F53" s="6" t="n">
        <v>-0.08477853024508988</v>
      </c>
      <c r="G53" s="4" t="n">
        <v>1879889325</v>
      </c>
      <c r="H53" s="2" t="inlineStr">
        <is>
          <t>R350-0102</t>
        </is>
      </c>
    </row>
    <row r="54">
      <c r="A54" s="2" t="n">
        <v>20</v>
      </c>
      <c r="B54" s="2" t="inlineStr">
        <is>
          <t>Kenvin Tai</t>
        </is>
      </c>
      <c r="C54" s="4" t="n">
        <v>181503223</v>
      </c>
      <c r="D54" s="4" t="n">
        <v>169580009</v>
      </c>
      <c r="E54" s="5" t="n">
        <v>-11923214</v>
      </c>
      <c r="F54" s="6" t="n">
        <v>-0.06569147259715603</v>
      </c>
      <c r="G54" s="4" t="n">
        <v>1209657609</v>
      </c>
      <c r="H54" s="2" t="inlineStr">
        <is>
          <t>R350-0154</t>
        </is>
      </c>
    </row>
    <row r="56">
      <c r="A56" s="34" t="inlineStr">
        <is>
          <t>Table 3 - renamed / ambiguous / override (for Ha to confirm)</t>
        </is>
      </c>
    </row>
    <row r="57">
      <c r="A57" s="3" t="inlineStr">
        <is>
          <t>#</t>
        </is>
      </c>
      <c r="B57" s="3" t="inlineStr">
        <is>
          <t>ID</t>
        </is>
      </c>
      <c r="C57" s="3" t="inlineStr">
        <is>
          <t>Screen D1</t>
        </is>
      </c>
      <c r="D57" s="3" t="inlineStr">
        <is>
          <t>Screen D2</t>
        </is>
      </c>
      <c r="E57" s="3" t="inlineStr">
        <is>
          <t>Rank D1→D2</t>
        </is>
      </c>
      <c r="F57" s="3" t="inlineStr">
        <is>
          <t>Δ Power %</t>
        </is>
      </c>
      <c r="G57" s="3" t="inlineStr">
        <is>
          <t>Δ KP %</t>
        </is>
      </c>
      <c r="H57" s="3" t="inlineStr">
        <is>
          <t>Act D1→D2</t>
        </is>
      </c>
      <c r="I57" s="3" t="inlineStr">
        <is>
          <t>mtype</t>
        </is>
      </c>
      <c r="J57" s="3" t="inlineStr">
        <is>
          <t>Evidence</t>
        </is>
      </c>
      <c r="K57" s="3" t="inlineStr">
        <is>
          <t>competitors</t>
        </is>
      </c>
      <c r="L57" s="3" t="inlineStr">
        <is>
          <t>status</t>
        </is>
      </c>
    </row>
    <row r="58">
      <c r="A58" s="2" t="n">
        <v>1</v>
      </c>
      <c r="B58" s="2" t="inlineStr">
        <is>
          <t>R350-0276</t>
        </is>
      </c>
      <c r="C58" s="2" t="inlineStr">
        <is>
          <t>contactmeboys</t>
        </is>
      </c>
      <c r="D58" s="2" t="inlineStr">
        <is>
          <t>SosiPisoS</t>
        </is>
      </c>
      <c r="E58" s="2" t="inlineStr">
        <is>
          <t>56→40</t>
        </is>
      </c>
      <c r="F58" s="36" t="n">
        <v>0.02125873322159718</v>
      </c>
      <c r="G58" s="48" t="n">
        <v>0.01218138080674754</v>
      </c>
      <c r="H58" s="2" t="inlineStr">
        <is>
          <t>5,828,806→6,687,106</t>
        </is>
      </c>
      <c r="I58" s="2" t="inlineStr">
        <is>
          <t>renamed</t>
        </is>
      </c>
      <c r="J58" s="2" t="inlineStr">
        <is>
          <t>renamed (Pass 2): dPower +2.08%, dKP +1.2181%, name similarity 0.27, competitors 1, neighbourhood_size 151; UNIQUENESS: FAILED</t>
        </is>
      </c>
      <c r="K58" s="2" t="n">
        <v>1</v>
      </c>
      <c r="L58" s="2" t="inlineStr">
        <is>
          <t>unresolved</t>
        </is>
      </c>
    </row>
    <row r="59">
      <c r="A59" s="2" t="n">
        <v>2</v>
      </c>
      <c r="B59" s="2" t="inlineStr">
        <is>
          <t>R350-0044</t>
        </is>
      </c>
      <c r="C59" s="2" t="inlineStr">
        <is>
          <t>KatalonEc</t>
        </is>
      </c>
      <c r="D59" s="2" t="inlineStr">
        <is>
          <t>llllllllll</t>
        </is>
      </c>
      <c r="E59" s="2" t="inlineStr">
        <is>
          <t>81→72</t>
        </is>
      </c>
      <c r="F59" s="36" t="n">
        <v>0.01487130542398129</v>
      </c>
      <c r="G59" s="48" t="n">
        <v>0.08598775303948759</v>
      </c>
      <c r="H59" s="2" t="inlineStr">
        <is>
          <t>925,741→487,200</t>
        </is>
      </c>
      <c r="I59" s="2" t="inlineStr">
        <is>
          <t>ambiguous</t>
        </is>
      </c>
      <c r="J59" s="2" t="inlineStr">
        <is>
          <t>ambiguous (Pass 2): dPower +1.47%, dKP +8.5988%, name similarity 0.11, competitors 4, neighbourhood_size 151; UNIQUENESS: FAILED</t>
        </is>
      </c>
      <c r="K59" s="2" t="n">
        <v>4</v>
      </c>
      <c r="L59" s="2" t="inlineStr">
        <is>
          <t>unresolved</t>
        </is>
      </c>
    </row>
    <row r="60">
      <c r="A60" s="2" t="n">
        <v>3</v>
      </c>
      <c r="B60" s="2" t="inlineStr">
        <is>
          <t>R350-0261</t>
        </is>
      </c>
      <c r="C60" s="2" t="inlineStr">
        <is>
          <t>llllllllllll</t>
        </is>
      </c>
      <c r="D60" s="2" t="inlineStr">
        <is>
          <t>llllllllllll</t>
        </is>
      </c>
      <c r="E60" s="2" t="inlineStr">
        <is>
          <t>162→140</t>
        </is>
      </c>
      <c r="F60" s="36" t="n">
        <v>0.04008875753413773</v>
      </c>
      <c r="G60" s="48" t="n">
        <v>0.06138069897886876</v>
      </c>
      <c r="H60" s="2" t="inlineStr">
        <is>
          <t>14,063,700→348,300</t>
        </is>
      </c>
      <c r="I60" s="2" t="inlineStr">
        <is>
          <t>ambiguous</t>
        </is>
      </c>
      <c r="J60" s="2" t="inlineStr">
        <is>
          <t>ambiguous (Pass 2): dPower +3.85%, dKP +6.1381%, name similarity 1.00, competitors 4, neighbourhood_size 151</t>
        </is>
      </c>
      <c r="K60" s="2" t="n">
        <v>4</v>
      </c>
      <c r="L60" s="2" t="inlineStr">
        <is>
          <t>needs_confirmation</t>
        </is>
      </c>
    </row>
    <row r="61">
      <c r="A61" s="2" t="n">
        <v>4</v>
      </c>
      <c r="B61" s="2" t="inlineStr">
        <is>
          <t>R350-0164</t>
        </is>
      </c>
      <c r="C61" s="2" t="inlineStr">
        <is>
          <t>Nuca</t>
        </is>
      </c>
      <c r="D61" s="2" t="inlineStr">
        <is>
          <t>llllllllll</t>
        </is>
      </c>
      <c r="E61" s="2" t="inlineStr">
        <is>
          <t>147→154</t>
        </is>
      </c>
      <c r="F61" s="36" t="n">
        <v>-0.02253271127418719</v>
      </c>
      <c r="G61" s="48" t="n">
        <v>0.06909577168775133</v>
      </c>
      <c r="H61" s="2" t="inlineStr">
        <is>
          <t>36,745,367→81,200</t>
        </is>
      </c>
      <c r="I61" s="2" t="inlineStr">
        <is>
          <t>ambiguous</t>
        </is>
      </c>
      <c r="J61" s="2" t="inlineStr">
        <is>
          <t>ambiguous (Pass 2): dPower +2.25%, dKP +6.9096%, name similarity 0.00, competitors 4, neighbourhood_size 151; UNIQUENESS: FAILED</t>
        </is>
      </c>
      <c r="K61" s="2" t="n">
        <v>4</v>
      </c>
      <c r="L61" s="2" t="inlineStr">
        <is>
          <t>unresolved</t>
        </is>
      </c>
    </row>
    <row r="62">
      <c r="A62" s="2" t="n">
        <v>5</v>
      </c>
      <c r="B62" s="2" t="inlineStr">
        <is>
          <t>R350-0179</t>
        </is>
      </c>
      <c r="C62" s="2" t="inlineStr">
        <is>
          <t>Surgeon OfDeath</t>
        </is>
      </c>
      <c r="D62" s="2" t="inlineStr">
        <is>
          <t>llllllllllll</t>
        </is>
      </c>
      <c r="E62" s="2" t="inlineStr">
        <is>
          <t>181→174</t>
        </is>
      </c>
      <c r="F62" s="36" t="n">
        <v>-0.01931292547543884</v>
      </c>
      <c r="G62" s="48" t="n">
        <v>0.0180259506530017</v>
      </c>
      <c r="H62" s="2" t="inlineStr">
        <is>
          <t>27,565,191→28,315,891</t>
        </is>
      </c>
      <c r="I62" s="2" t="inlineStr">
        <is>
          <t>ambiguous</t>
        </is>
      </c>
      <c r="J62" s="2" t="inlineStr">
        <is>
          <t>ambiguous (Pass 2): dPower +1.93%, dKP +1.8026%, name similarity 0.00, competitors 1, neighbourhood_size 151; UNIQUENESS: FAILED</t>
        </is>
      </c>
      <c r="K62" s="2" t="n">
        <v>1</v>
      </c>
      <c r="L62" s="2" t="inlineStr">
        <is>
          <t>unresolved</t>
        </is>
      </c>
    </row>
    <row r="63">
      <c r="A63" s="2" t="n">
        <v>6</v>
      </c>
      <c r="B63" s="2" t="inlineStr">
        <is>
          <t>R350-0195</t>
        </is>
      </c>
      <c r="C63" s="2" t="inlineStr">
        <is>
          <t>Zvyagovna</t>
        </is>
      </c>
      <c r="D63" s="2" t="inlineStr">
        <is>
          <t>llllllllllll</t>
        </is>
      </c>
      <c r="E63" s="2" t="inlineStr">
        <is>
          <t>184→176</t>
        </is>
      </c>
      <c r="F63" s="36" t="n">
        <v>-0.0003750832689214639</v>
      </c>
      <c r="G63" s="48" t="n">
        <v>0.04511006772043959</v>
      </c>
      <c r="H63" s="2" t="inlineStr">
        <is>
          <t>33,282,147→85,300</t>
        </is>
      </c>
      <c r="I63" s="2" t="inlineStr">
        <is>
          <t>ambiguous</t>
        </is>
      </c>
      <c r="J63" s="2" t="inlineStr">
        <is>
          <t>ambiguous (Pass 2): dPower +0.04%, dKP +4.5110%, name similarity 0.08, competitors 0, neighbourhood_size 17</t>
        </is>
      </c>
      <c r="K63" s="2" t="n">
        <v>0</v>
      </c>
      <c r="L63" s="2" t="inlineStr">
        <is>
          <t>needs_confirmation</t>
        </is>
      </c>
    </row>
    <row r="65">
      <c r="A65" t="inlineStr">
        <is>
          <t>Supplementary info from Chow (NOT from video, added 31/10) - these 2 are PRESENT, not departures:</t>
        </is>
      </c>
    </row>
    <row r="66">
      <c r="A66" t="inlineStr">
        <is>
          <t>R350-0003 133tz: Name D2 filled, Power D2 570,884,806 / KP D2 11,675,253,185 / Act D2 15,000 (all Chow-provided).</t>
        </is>
      </c>
    </row>
    <row r="67">
      <c r="A67" t="inlineStr">
        <is>
          <t>R350-0142 Simona: Name D2 filled, Power D2 158,733,482 / KP D2 6,931,115,332 / Act D2 0, nickname llllllllllll (Chow screenshot + Chow-provided Act).</t>
        </is>
      </c>
    </row>
    <row r="68">
      <c r="A68" t="inlineStr">
        <is>
          <t>Effect: Comparison TOTAL / Summary D2 counts include 4 supplementary rows (133tz, Simona, Phong Anh Kiet, Leader392837282) - D2 counted 199 = 195 video rows + 4 supplementary. Their status is PRESENT per Chow, so effective departures = 1 (Deoniss) pending other decisions.</t>
        </is>
      </c>
    </row>
    <row r="69">
      <c r="A69" t="inlineStr">
        <is>
          <t>kira21 = kira is sleepy per Chow (31/10): R350-0217 kira21 renamed to kira is sleepy (D2 row 194); NOT a departure, NOT a newcomer. Row 202 now carries its D2 stats; row 205 cleared to avoid double-counting.</t>
        </is>
      </c>
    </row>
    <row r="70">
      <c r="A70" t="inlineStr">
        <is>
          <t>Leader392837282 present per Chow (31/10): R350-0193, Power 115,342,329 / KP 1,302,918,192 / Act 0. NOT a departure. Note: D2 counted 199 vs game UI 196 still differs by 3 - pending Chow confirmation + remaining decisions.</t>
        </is>
      </c>
    </row>
    <row r="71">
      <c r="A71" t="inlineStr">
        <is>
          <t>Rejoins confirmed per Chow (31/10): Grigoryan -&gt; R350-0254, TONIGAN -&gt; R350-0163. Both are genuine returns, not newcomers.</t>
        </is>
      </c>
    </row>
    <row r="72">
      <c r="A72" t="inlineStr">
        <is>
          <t>Unresolved pairs confirmed per Chow (31/10): contactmeboys -&gt; SosiPisoS (R350-0276), KatalonEc -&gt; llllllllll row 72 (R350-0044), Nuca -&gt; llllllllll row 154 (R350-0164), Surgeon OfDeath -&gt; llllllllllll row 174 (R350-0179). All 4 are same-person matches; canonical names unchanged.</t>
        </is>
      </c>
    </row>
    <row r="73">
      <c r="A73" t="inlineStr">
        <is>
          <t>Rename pairs confirmed per Chow (31/10): BORYA ROCKSTAR -&gt; llllllllllll row 140 (R350-0261), Zvyagovna -&gt; llllllllllll row 176 (R350-0195). Both are same-person matches; canonical names unchanged.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34" t="inlineStr">
        <is>
          <t>Legend and method - comparison 2026-10-27 vs 2026-10-31</t>
        </is>
      </c>
    </row>
    <row r="2">
      <c r="A2" s="2" t="inlineStr"/>
    </row>
    <row r="3">
      <c r="A3" s="34" t="inlineStr">
        <is>
          <t>COLOURS</t>
        </is>
      </c>
    </row>
    <row r="4">
      <c r="A4" s="2" t="inlineStr">
        <is>
          <t>white / EBF3FB alternating = exact name match (Pass 1)</t>
        </is>
      </c>
    </row>
    <row r="5">
      <c r="A5" s="2" t="inlineStr">
        <is>
          <t>FFF2CC = renamed / ambiguous / override pair</t>
        </is>
      </c>
    </row>
    <row r="6">
      <c r="A6" s="2" t="inlineStr">
        <is>
          <t>FCE4D6 = only in D1 (left the tribe)</t>
        </is>
      </c>
    </row>
    <row r="7">
      <c r="A7" s="2" t="inlineStr">
        <is>
          <t>E2EFDA = only in D2 (new / rejoin / excluded)</t>
        </is>
      </c>
    </row>
    <row r="8">
      <c r="A8" s="2" t="inlineStr"/>
    </row>
    <row r="9">
      <c r="A9" s="2" t="inlineStr">
        <is>
          <t>METHOD (VR_member_comparison_v8, script vr_compare.py)</t>
        </is>
      </c>
    </row>
    <row r="10">
      <c r="A10" s="2" t="inlineStr">
        <is>
          <t>Pass 1 exact name (canonical + alias, fkey + skey), no rank window: 186 pairs</t>
        </is>
      </c>
    </row>
    <row r="11">
      <c r="A11" s="2" t="inlineStr">
        <is>
          <t>Pass 2 Hungarian, KP_CEIL 16.3010%, |dPower|&lt;=20%, RANK_WIN 49: 6 pairs</t>
        </is>
      </c>
    </row>
    <row r="12">
      <c r="A12" s="2" t="inlineStr">
        <is>
          <t>Pass 3 override (no rank window, dKP&lt;=5%, dPower&lt;=20%, dAct&lt;=25%, score&lt;1.0): 0 pairs</t>
        </is>
      </c>
    </row>
    <row r="13">
      <c r="A13" s="2" t="inlineStr">
        <is>
          <t>Control group: n=186, min 0.0000%, median 2.9323%, p90 7.5009%, max 14.8191%  -&gt;  KP_CEIL 16.3010% (max of 186-pair control group x 1.1)</t>
        </is>
      </c>
    </row>
    <row r="14">
      <c r="A14" s="2" t="inlineStr">
        <is>
          <t>Sensitivity: Pass 2 re-run at KP_CEIL x1.25 and x2.5; a pair that changes partner is UNSTABLE -&gt; unresolved</t>
        </is>
      </c>
    </row>
    <row r="15">
      <c r="A15" s="2" t="inlineStr">
        <is>
          <t>Uniqueness (5b): competitors = other pool pairs passing the same dKP window (&lt;= max(2 x this dKP, 0.001%)) and |dPower|&lt;=20% that share the D1 row, the D2 row or the KP decade; competitors&gt;=1 without name evidence -&gt; UNIQUENESS: FAILED</t>
        </is>
      </c>
    </row>
    <row r="16">
      <c r="A16" s="2" t="inlineStr">
        <is>
          <t>Day-type ratios: {'pass1_rate': 0.954, 'turnover': 0.045, 'pool_size': 108}  special-day mode: False</t>
        </is>
      </c>
    </row>
    <row r="17">
      <c r="A17" s="2" t="inlineStr">
        <is>
          <t>Act&lt;500k collapse rate in control group: 48.9%  (Act~0 rejoin signal usable: False)</t>
        </is>
      </c>
    </row>
    <row r="18">
      <c r="A18" s="2" t="inlineStr">
        <is>
          <t>Balance: {'D2 == matched + D2-only': True, 'D1 == matched + D1-only': True, 'D2 == D1 - left + new (+excluded)': True}</t>
        </is>
      </c>
    </row>
    <row r="19">
      <c r="A19" s="2" t="inlineStr">
        <is>
          <t>Bottom of list proven by geometry: False</t>
        </is>
      </c>
    </row>
    <row r="20">
      <c r="A20" s="2" t="inlineStr"/>
    </row>
    <row r="21">
      <c r="A21" s="2" t="inlineStr">
        <is>
          <t>IDENTITY RULES: Kill Points never decrease; metrics identify, names do not; stroke count is not identity.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2026-10-31T11:46:24Z</dcterms:created>
  <dcterms:modified xmlns:dcterms="http://purl.org/dc/terms/" xmlns:xsi="http://www.w3.org/2001/XMLSchema-instance" xsi:type="dcterms:W3CDTF">2026-10-31T14:59:12+00:00Z</dcterms:modified>
</cp:coreProperties>
</file>