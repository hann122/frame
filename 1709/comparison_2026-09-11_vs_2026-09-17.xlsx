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Summary" sheetId="2" state="visible" r:id="rId4"/>
    <sheet name="Leg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<sst xmlns="http://schemas.openxmlformats.org/spreadsheetml/2006/main" count="985" uniqueCount="542">
  <si>
    <t xml:space="preserve">R350 tribe member comparison  -  2026-09-11  vs  2026-09-17  (ELAPSED 6 days)</t>
  </si>
  <si>
    <t xml:space="preserve">D1 198 stored rows | D2 197 rows (game UI 197 CONFIRMED) | Pass 1 196 | Pass 2 1 | Pass 3 0 | departures 1 | new/rejoin 0 | KP_CEIL 0.0624% derived from the 196-pair control group</t>
  </si>
  <si>
    <t xml:space="preserve">#</t>
  </si>
  <si>
    <t xml:space="preserve">ID</t>
  </si>
  <si>
    <t xml:space="preserve">Name (D1)</t>
  </si>
  <si>
    <t xml:space="preserve">Name (D2)</t>
  </si>
  <si>
    <t xml:space="preserve">Note</t>
  </si>
  <si>
    <t xml:space="preserve">Power D1</t>
  </si>
  <si>
    <t xml:space="preserve">Kill Pts D1</t>
  </si>
  <si>
    <t xml:space="preserve">Act Pts D1</t>
  </si>
  <si>
    <t xml:space="preserve">Power D2</t>
  </si>
  <si>
    <t xml:space="preserve">Kill Pts D2</t>
  </si>
  <si>
    <t xml:space="preserve">Act Pts D2</t>
  </si>
  <si>
    <t xml:space="preserve">Δ Power</t>
  </si>
  <si>
    <t xml:space="preserve">Δ Power %</t>
  </si>
  <si>
    <t xml:space="preserve">Δ Kill Pts</t>
  </si>
  <si>
    <t xml:space="preserve">Δ Kill Pts %</t>
  </si>
  <si>
    <t xml:space="preserve">Δ Act Pts</t>
  </si>
  <si>
    <t xml:space="preserve">R350-0001</t>
  </si>
  <si>
    <t xml:space="preserve">Чугуш</t>
  </si>
  <si>
    <t xml:space="preserve">Exact name match (Pass 1) via alias screen name "Чугуш"</t>
  </si>
  <si>
    <t xml:space="preserve">R350-0003</t>
  </si>
  <si>
    <t xml:space="preserve">133tz</t>
  </si>
  <si>
    <t xml:space="preserve">Exact name match (Pass 1)</t>
  </si>
  <si>
    <t xml:space="preserve">R350-0002</t>
  </si>
  <si>
    <t xml:space="preserve">Единств</t>
  </si>
  <si>
    <t xml:space="preserve">R350-0004</t>
  </si>
  <si>
    <t xml:space="preserve">Balrog T</t>
  </si>
  <si>
    <t xml:space="preserve">Timmeee</t>
  </si>
  <si>
    <t xml:space="preserve">R350-0005</t>
  </si>
  <si>
    <r>
      <rPr>
        <sz val="10"/>
        <rFont val="Arial"/>
        <family val="0"/>
        <charset val="1"/>
      </rPr>
      <t xml:space="preserve">ASTERION </t>
    </r>
    <r>
      <rPr>
        <sz val="10"/>
        <rFont val="Noto Sans CJK SC"/>
        <family val="2"/>
      </rPr>
      <t xml:space="preserve">ツ</t>
    </r>
  </si>
  <si>
    <r>
      <rPr>
        <sz val="10"/>
        <rFont val="Arial"/>
        <family val="0"/>
        <charset val="1"/>
      </rPr>
      <t xml:space="preserve">Exact name match (Pass 1) via alias screen name "ASTERION </t>
    </r>
    <r>
      <rPr>
        <sz val="10"/>
        <rFont val="Noto Sans CJK SC"/>
        <family val="2"/>
      </rPr>
      <t xml:space="preserve">ツ</t>
    </r>
    <r>
      <rPr>
        <sz val="10"/>
        <rFont val="Arial"/>
        <family val="0"/>
        <charset val="1"/>
      </rPr>
      <t xml:space="preserve">"</t>
    </r>
  </si>
  <si>
    <t xml:space="preserve">R350-0007</t>
  </si>
  <si>
    <t xml:space="preserve">Lastangel001</t>
  </si>
  <si>
    <t xml:space="preserve">R350-0006</t>
  </si>
  <si>
    <t xml:space="preserve">skywraith</t>
  </si>
  <si>
    <t xml:space="preserve">R350-0008</t>
  </si>
  <si>
    <t xml:space="preserve">CRx StalinIV</t>
  </si>
  <si>
    <t xml:space="preserve">R350-0250</t>
  </si>
  <si>
    <t xml:space="preserve">FinistBrFalcon</t>
  </si>
  <si>
    <t xml:space="preserve">R350-0009</t>
  </si>
  <si>
    <t xml:space="preserve">Nordic Oak</t>
  </si>
  <si>
    <t xml:space="preserve">R350-0017</t>
  </si>
  <si>
    <t xml:space="preserve">Colt Canon</t>
  </si>
  <si>
    <t xml:space="preserve">R350-0014</t>
  </si>
  <si>
    <t xml:space="preserve">Shebeastinem</t>
  </si>
  <si>
    <t xml:space="preserve">R350-0016</t>
  </si>
  <si>
    <t xml:space="preserve">KenAROK</t>
  </si>
  <si>
    <t xml:space="preserve">R350-0015</t>
  </si>
  <si>
    <t xml:space="preserve">TikiCat</t>
  </si>
  <si>
    <t xml:space="preserve">R350-0011</t>
  </si>
  <si>
    <t xml:space="preserve">Anew27</t>
  </si>
  <si>
    <t xml:space="preserve">R350-0027</t>
  </si>
  <si>
    <t xml:space="preserve">MONSTER DONG</t>
  </si>
  <si>
    <t xml:space="preserve">R350-0251</t>
  </si>
  <si>
    <t xml:space="preserve">Морффей</t>
  </si>
  <si>
    <t xml:space="preserve">R350-0018</t>
  </si>
  <si>
    <t xml:space="preserve">ZVYAG</t>
  </si>
  <si>
    <t xml:space="preserve">R350-0021</t>
  </si>
  <si>
    <t xml:space="preserve">DANIEL SHEHU</t>
  </si>
  <si>
    <t xml:space="preserve">R350-0030</t>
  </si>
  <si>
    <t xml:space="preserve">Frozen</t>
  </si>
  <si>
    <t xml:space="preserve">R350-0026</t>
  </si>
  <si>
    <t xml:space="preserve">Kumiho</t>
  </si>
  <si>
    <t xml:space="preserve">R350-0010</t>
  </si>
  <si>
    <t xml:space="preserve">IMPACT</t>
  </si>
  <si>
    <t xml:space="preserve">R350-0034</t>
  </si>
  <si>
    <t xml:space="preserve">Be3yhunk</t>
  </si>
  <si>
    <t xml:space="preserve">R350-0036</t>
  </si>
  <si>
    <t xml:space="preserve">Mossad 007</t>
  </si>
  <si>
    <t xml:space="preserve">R350-0252</t>
  </si>
  <si>
    <t xml:space="preserve">Dron B Kedax</t>
  </si>
  <si>
    <t xml:space="preserve">R350-0031</t>
  </si>
  <si>
    <t xml:space="preserve">DEATH INC</t>
  </si>
  <si>
    <t xml:space="preserve">R350-0253</t>
  </si>
  <si>
    <t xml:space="preserve">HellHool</t>
  </si>
  <si>
    <t xml:space="preserve">R350-0048</t>
  </si>
  <si>
    <t xml:space="preserve">MILFnCookies</t>
  </si>
  <si>
    <t xml:space="preserve">R350-0020</t>
  </si>
  <si>
    <t xml:space="preserve">Belka</t>
  </si>
  <si>
    <t xml:space="preserve">R350-0043</t>
  </si>
  <si>
    <t xml:space="preserve">Jiren</t>
  </si>
  <si>
    <t xml:space="preserve">R350-0028</t>
  </si>
  <si>
    <t xml:space="preserve">MarceLo</t>
  </si>
  <si>
    <t xml:space="preserve">R350-0058</t>
  </si>
  <si>
    <t xml:space="preserve">Axe HongTrang</t>
  </si>
  <si>
    <t xml:space="preserve">R350-0254</t>
  </si>
  <si>
    <t xml:space="preserve">Grigoryan</t>
  </si>
  <si>
    <t xml:space="preserve">R350-0013</t>
  </si>
  <si>
    <t xml:space="preserve">Cookies</t>
  </si>
  <si>
    <t xml:space="preserve">R350-0025</t>
  </si>
  <si>
    <t xml:space="preserve">Viktorvad</t>
  </si>
  <si>
    <t xml:space="preserve">R350-0022</t>
  </si>
  <si>
    <t xml:space="preserve">CoolFarm</t>
  </si>
  <si>
    <t xml:space="preserve">R350-0032</t>
  </si>
  <si>
    <t xml:space="preserve">Phá Quân</t>
  </si>
  <si>
    <t xml:space="preserve">R350-0090</t>
  </si>
  <si>
    <t xml:space="preserve">Thaunt</t>
  </si>
  <si>
    <t xml:space="preserve">R350-0256</t>
  </si>
  <si>
    <t xml:space="preserve">TRiSTAN</t>
  </si>
  <si>
    <t xml:space="preserve">R350-0255</t>
  </si>
  <si>
    <t xml:space="preserve">VasilyES</t>
  </si>
  <si>
    <t xml:space="preserve">R350-0064</t>
  </si>
  <si>
    <t xml:space="preserve">ОлежикА5</t>
  </si>
  <si>
    <t xml:space="preserve">R350-0024</t>
  </si>
  <si>
    <t xml:space="preserve">SLOW DEATH</t>
  </si>
  <si>
    <t xml:space="preserve">R350-0056</t>
  </si>
  <si>
    <t xml:space="preserve">BeastofLebanon</t>
  </si>
  <si>
    <t xml:space="preserve">R350-0042</t>
  </si>
  <si>
    <t xml:space="preserve">Axe Ex Mashina</t>
  </si>
  <si>
    <t xml:space="preserve">R350-0051</t>
  </si>
  <si>
    <t xml:space="preserve">Reggard</t>
  </si>
  <si>
    <t xml:space="preserve">R350-0081</t>
  </si>
  <si>
    <t xml:space="preserve">Rusooo</t>
  </si>
  <si>
    <t xml:space="preserve">R350-0083</t>
  </si>
  <si>
    <t xml:space="preserve">Mardröm Draugr</t>
  </si>
  <si>
    <t xml:space="preserve">R350-0047</t>
  </si>
  <si>
    <t xml:space="preserve">TOM DU</t>
  </si>
  <si>
    <t xml:space="preserve">R350-0039</t>
  </si>
  <si>
    <t xml:space="preserve">Tieu Tam Sinh</t>
  </si>
  <si>
    <t xml:space="preserve">R350-0089</t>
  </si>
  <si>
    <t xml:space="preserve">KOLOBOKK</t>
  </si>
  <si>
    <t xml:space="preserve">R350-0037</t>
  </si>
  <si>
    <t xml:space="preserve">Phúc XO</t>
  </si>
  <si>
    <t xml:space="preserve">R350-0023</t>
  </si>
  <si>
    <t xml:space="preserve">Falcon</t>
  </si>
  <si>
    <t xml:space="preserve">R350-0108</t>
  </si>
  <si>
    <t xml:space="preserve">DEATH isThe WAY</t>
  </si>
  <si>
    <t xml:space="preserve">R350-0078</t>
  </si>
  <si>
    <t xml:space="preserve">A R</t>
  </si>
  <si>
    <t xml:space="preserve">R350-0029</t>
  </si>
  <si>
    <t xml:space="preserve">GoJoeGo</t>
  </si>
  <si>
    <t xml:space="preserve">R350-0041</t>
  </si>
  <si>
    <t xml:space="preserve">Элвис33</t>
  </si>
  <si>
    <t xml:space="preserve">R350-0257</t>
  </si>
  <si>
    <t xml:space="preserve">SWS70</t>
  </si>
  <si>
    <t xml:space="preserve">R350-0086</t>
  </si>
  <si>
    <t xml:space="preserve">Viettell</t>
  </si>
  <si>
    <t xml:space="preserve">R350-0072</t>
  </si>
  <si>
    <t xml:space="preserve">Tora</t>
  </si>
  <si>
    <t xml:space="preserve">R350-0101</t>
  </si>
  <si>
    <t xml:space="preserve">Vietgangz</t>
  </si>
  <si>
    <t xml:space="preserve">R350-0035</t>
  </si>
  <si>
    <t xml:space="preserve">FLAMES</t>
  </si>
  <si>
    <t xml:space="preserve">R350-0061</t>
  </si>
  <si>
    <t xml:space="preserve">FalconN</t>
  </si>
  <si>
    <t xml:space="preserve">R350-0063</t>
  </si>
  <si>
    <t xml:space="preserve">T1 Tarek</t>
  </si>
  <si>
    <t xml:space="preserve">R350-0070</t>
  </si>
  <si>
    <t xml:space="preserve">Lord of Dragon</t>
  </si>
  <si>
    <t xml:space="preserve">R350-0079</t>
  </si>
  <si>
    <t xml:space="preserve">Phong Anh Kiet</t>
  </si>
  <si>
    <t xml:space="preserve">R350-0044</t>
  </si>
  <si>
    <t xml:space="preserve">KatálønEc</t>
  </si>
  <si>
    <t xml:space="preserve">KatáløņEc</t>
  </si>
  <si>
    <t xml:space="preserve">Pass 2 Hungarian, renamed. dKP +0.0000% (control-group ceiling 0.0624%). competitors=0, neighbourhood_size=154. Evidence: near-identical name string (alias on 2026-09-11 was "KatálønEc"), Kill Points identical to the digit, Power +1.04%. Stable at all four sensitivity ceilings. | ACT PTS RESET (left and rejoined inside the window; ID unchanged)</t>
  </si>
  <si>
    <t xml:space="preserve">R350-0209</t>
  </si>
  <si>
    <t xml:space="preserve">AHT</t>
  </si>
  <si>
    <t xml:space="preserve">R350-0126</t>
  </si>
  <si>
    <t xml:space="preserve">Barcode</t>
  </si>
  <si>
    <t xml:space="preserve">R350-0075</t>
  </si>
  <si>
    <t xml:space="preserve">Catler</t>
  </si>
  <si>
    <t xml:space="preserve">R350-0124</t>
  </si>
  <si>
    <t xml:space="preserve">l3omb</t>
  </si>
  <si>
    <t xml:space="preserve">R350-0052</t>
  </si>
  <si>
    <t xml:space="preserve">MRS DEATH</t>
  </si>
  <si>
    <t xml:space="preserve">R350-0060</t>
  </si>
  <si>
    <t xml:space="preserve">EternalDeath</t>
  </si>
  <si>
    <t xml:space="preserve">R350-0065</t>
  </si>
  <si>
    <t xml:space="preserve">Urethral Queef</t>
  </si>
  <si>
    <t xml:space="preserve">R350-0049</t>
  </si>
  <si>
    <t xml:space="preserve">v Roki v</t>
  </si>
  <si>
    <t xml:space="preserve">R350-0050</t>
  </si>
  <si>
    <t xml:space="preserve">Turbonik</t>
  </si>
  <si>
    <t xml:space="preserve">R350-0258</t>
  </si>
  <si>
    <t xml:space="preserve">UNITY</t>
  </si>
  <si>
    <t xml:space="preserve">R350-0074</t>
  </si>
  <si>
    <t xml:space="preserve">Simeply</t>
  </si>
  <si>
    <t xml:space="preserve">Exact name match (Pass 1) via alias screen name "Simeply"</t>
  </si>
  <si>
    <t xml:space="preserve">R350-0046</t>
  </si>
  <si>
    <t xml:space="preserve">Beckett fett</t>
  </si>
  <si>
    <t xml:space="preserve">R350-0105</t>
  </si>
  <si>
    <t xml:space="preserve">DickeY</t>
  </si>
  <si>
    <t xml:space="preserve">R350-0071</t>
  </si>
  <si>
    <t xml:space="preserve">Công Đạo</t>
  </si>
  <si>
    <t xml:space="preserve">R350-0103</t>
  </si>
  <si>
    <t xml:space="preserve">xxx LEGACY xxx</t>
  </si>
  <si>
    <t xml:space="preserve">Exact name match (Pass 1) via alias screen name "xxx LEGACY xxx"</t>
  </si>
  <si>
    <t xml:space="preserve">R350-0038</t>
  </si>
  <si>
    <t xml:space="preserve">SozYazarTpYapar</t>
  </si>
  <si>
    <t xml:space="preserve">R350-0059</t>
  </si>
  <si>
    <t xml:space="preserve">Mifeng</t>
  </si>
  <si>
    <t xml:space="preserve">R350-0125</t>
  </si>
  <si>
    <t xml:space="preserve">EzeKiel</t>
  </si>
  <si>
    <t xml:space="preserve">R350-0092</t>
  </si>
  <si>
    <t xml:space="preserve">MeLioDas</t>
  </si>
  <si>
    <t xml:space="preserve">R350-0098</t>
  </si>
  <si>
    <t xml:space="preserve">brayan</t>
  </si>
  <si>
    <t xml:space="preserve">Exact name match (Pass 1) via alias screen name "brayan"</t>
  </si>
  <si>
    <t xml:space="preserve">R350-0033</t>
  </si>
  <si>
    <t xml:space="preserve">Nephrite</t>
  </si>
  <si>
    <t xml:space="preserve">R350-0073</t>
  </si>
  <si>
    <t xml:space="preserve">Grimmy</t>
  </si>
  <si>
    <t xml:space="preserve">R350-0053</t>
  </si>
  <si>
    <t xml:space="preserve">Toroto</t>
  </si>
  <si>
    <t xml:space="preserve">R350-0077</t>
  </si>
  <si>
    <t xml:space="preserve">Inspector Crow</t>
  </si>
  <si>
    <t xml:space="preserve">R350-0135</t>
  </si>
  <si>
    <t xml:space="preserve">S i r</t>
  </si>
  <si>
    <t xml:space="preserve">Exact name match (Pass 1) via alias screen name "S i r"</t>
  </si>
  <si>
    <t xml:space="preserve">R350-0080</t>
  </si>
  <si>
    <t xml:space="preserve">Quantum</t>
  </si>
  <si>
    <t xml:space="preserve">R350-0097</t>
  </si>
  <si>
    <t xml:space="preserve">Mintael</t>
  </si>
  <si>
    <t xml:space="preserve">R350-0066</t>
  </si>
  <si>
    <t xml:space="preserve">Ragnar Pedro</t>
  </si>
  <si>
    <t xml:space="preserve">R350-0100</t>
  </si>
  <si>
    <t xml:space="preserve">Cokon 1000</t>
  </si>
  <si>
    <t xml:space="preserve">R350-0153</t>
  </si>
  <si>
    <t xml:space="preserve">Leoo</t>
  </si>
  <si>
    <t xml:space="preserve">R350-0131</t>
  </si>
  <si>
    <t xml:space="preserve">Viddar160</t>
  </si>
  <si>
    <t xml:space="preserve">R350-0093</t>
  </si>
  <si>
    <t xml:space="preserve">Barb</t>
  </si>
  <si>
    <t xml:space="preserve">R350-0068</t>
  </si>
  <si>
    <t xml:space="preserve">zapekanka</t>
  </si>
  <si>
    <t xml:space="preserve">R350-0259</t>
  </si>
  <si>
    <t xml:space="preserve">Fride</t>
  </si>
  <si>
    <t xml:space="preserve">R350-0200</t>
  </si>
  <si>
    <t xml:space="preserve">o0oHackDiep68</t>
  </si>
  <si>
    <t xml:space="preserve">R350-0045</t>
  </si>
  <si>
    <t xml:space="preserve">DoraB</t>
  </si>
  <si>
    <t xml:space="preserve">R350-0091</t>
  </si>
  <si>
    <t xml:space="preserve">Peace</t>
  </si>
  <si>
    <t xml:space="preserve">R350-0128</t>
  </si>
  <si>
    <t xml:space="preserve">Laland</t>
  </si>
  <si>
    <t xml:space="preserve">R350-0122</t>
  </si>
  <si>
    <t xml:space="preserve">54oLeNkA54</t>
  </si>
  <si>
    <t xml:space="preserve">R350-0158</t>
  </si>
  <si>
    <t xml:space="preserve">Mumford</t>
  </si>
  <si>
    <t xml:space="preserve">R350-0145</t>
  </si>
  <si>
    <t xml:space="preserve">Griffin</t>
  </si>
  <si>
    <t xml:space="preserve">Exact name match (Pass 1) via alias screen name "Griffin"</t>
  </si>
  <si>
    <t xml:space="preserve">R350-0076</t>
  </si>
  <si>
    <t xml:space="preserve">peacefall</t>
  </si>
  <si>
    <t xml:space="preserve">R350-0159</t>
  </si>
  <si>
    <t xml:space="preserve">KillaT</t>
  </si>
  <si>
    <t xml:space="preserve">R350-0055</t>
  </si>
  <si>
    <t xml:space="preserve">BRAVE</t>
  </si>
  <si>
    <t xml:space="preserve">R350-0154</t>
  </si>
  <si>
    <t xml:space="preserve">Kenvin Tai</t>
  </si>
  <si>
    <t xml:space="preserve">R350-0115</t>
  </si>
  <si>
    <t xml:space="preserve">hab1st</t>
  </si>
  <si>
    <t xml:space="preserve">R350-0120</t>
  </si>
  <si>
    <t xml:space="preserve">Noixa</t>
  </si>
  <si>
    <t xml:space="preserve">R350-0099</t>
  </si>
  <si>
    <t xml:space="preserve">Nudist</t>
  </si>
  <si>
    <t xml:space="preserve">Peegee</t>
  </si>
  <si>
    <t xml:space="preserve">R350-0113</t>
  </si>
  <si>
    <t xml:space="preserve">Okeanisa</t>
  </si>
  <si>
    <t xml:space="preserve">R350-0054</t>
  </si>
  <si>
    <t xml:space="preserve">Grace</t>
  </si>
  <si>
    <t xml:space="preserve">R350-0156</t>
  </si>
  <si>
    <t xml:space="preserve">ТиарА</t>
  </si>
  <si>
    <t xml:space="preserve">Exact name match (Pass 1) | ACT PTS RESET (left and rejoined inside the window; ID unchanged)</t>
  </si>
  <si>
    <t xml:space="preserve">R350-0137</t>
  </si>
  <si>
    <t xml:space="preserve">YouKnow</t>
  </si>
  <si>
    <t xml:space="preserve">R350-0136</t>
  </si>
  <si>
    <t xml:space="preserve">x Kraken x</t>
  </si>
  <si>
    <t xml:space="preserve">R350-0127</t>
  </si>
  <si>
    <t xml:space="preserve">RemarkNess</t>
  </si>
  <si>
    <t xml:space="preserve">R350-0082</t>
  </si>
  <si>
    <t xml:space="preserve">Nastenblsh</t>
  </si>
  <si>
    <t xml:space="preserve">R350-0165</t>
  </si>
  <si>
    <t xml:space="preserve">ioRi yaGami</t>
  </si>
  <si>
    <t xml:space="preserve">R350-0069</t>
  </si>
  <si>
    <t xml:space="preserve">Còi</t>
  </si>
  <si>
    <t xml:space="preserve">R350-0111</t>
  </si>
  <si>
    <t xml:space="preserve">ДаНуНа</t>
  </si>
  <si>
    <t xml:space="preserve">R350-0202</t>
  </si>
  <si>
    <t xml:space="preserve">EgoisT</t>
  </si>
  <si>
    <t xml:space="preserve">R350-0119</t>
  </si>
  <si>
    <t xml:space="preserve">Quang Vi</t>
  </si>
  <si>
    <t xml:space="preserve">R350-0114</t>
  </si>
  <si>
    <t xml:space="preserve">nirr</t>
  </si>
  <si>
    <t xml:space="preserve">R350-0116</t>
  </si>
  <si>
    <t xml:space="preserve">Tinuviel</t>
  </si>
  <si>
    <t xml:space="preserve">R350-0107</t>
  </si>
  <si>
    <t xml:space="preserve">SPUDIman</t>
  </si>
  <si>
    <t xml:space="preserve">R350-0141</t>
  </si>
  <si>
    <t xml:space="preserve">MarQ</t>
  </si>
  <si>
    <t xml:space="preserve">R350-0133</t>
  </si>
  <si>
    <t xml:space="preserve">ТагилРу</t>
  </si>
  <si>
    <t xml:space="preserve">R350-0130</t>
  </si>
  <si>
    <t xml:space="preserve">KaRaSu</t>
  </si>
  <si>
    <t xml:space="preserve">R350-0095</t>
  </si>
  <si>
    <t xml:space="preserve">AMAK</t>
  </si>
  <si>
    <t xml:space="preserve">R350-0260</t>
  </si>
  <si>
    <t xml:space="preserve">FallenAngel</t>
  </si>
  <si>
    <t xml:space="preserve">R350-0104</t>
  </si>
  <si>
    <t xml:space="preserve">RenatDoc</t>
  </si>
  <si>
    <t xml:space="preserve">Exact name match (Pass 1) via alias screen name "RenatDoc"</t>
  </si>
  <si>
    <t xml:space="preserve">R350-0102</t>
  </si>
  <si>
    <t xml:space="preserve">MR HuyCuong90</t>
  </si>
  <si>
    <t xml:space="preserve">R350-0112</t>
  </si>
  <si>
    <t xml:space="preserve">zklmn</t>
  </si>
  <si>
    <t xml:space="preserve">R350-0261</t>
  </si>
  <si>
    <t xml:space="preserve">BORYA ROCKSTAR</t>
  </si>
  <si>
    <t xml:space="preserve">R350-0057</t>
  </si>
  <si>
    <t xml:space="preserve">So1o</t>
  </si>
  <si>
    <t xml:space="preserve">R350-0264</t>
  </si>
  <si>
    <t xml:space="preserve">Vladislav</t>
  </si>
  <si>
    <t xml:space="preserve">R350-0094</t>
  </si>
  <si>
    <t xml:space="preserve">Abadi</t>
  </si>
  <si>
    <t xml:space="preserve">R350-0067</t>
  </si>
  <si>
    <t xml:space="preserve">Bonk</t>
  </si>
  <si>
    <t xml:space="preserve">R350-0132</t>
  </si>
  <si>
    <t xml:space="preserve">RusVikingGirl</t>
  </si>
  <si>
    <t xml:space="preserve">R350-0117</t>
  </si>
  <si>
    <t xml:space="preserve">Herooo</t>
  </si>
  <si>
    <t xml:space="preserve">R350-0106</t>
  </si>
  <si>
    <r>
      <rPr>
        <sz val="10"/>
        <rFont val="Noto Sans CJK SC"/>
        <family val="2"/>
      </rPr>
      <t xml:space="preserve">彡</t>
    </r>
    <r>
      <rPr>
        <sz val="10"/>
        <rFont val="Arial"/>
        <family val="0"/>
        <charset val="1"/>
      </rPr>
      <t xml:space="preserve">MiaMoR</t>
    </r>
    <r>
      <rPr>
        <sz val="10"/>
        <rFont val="Noto Sans CJK SC"/>
        <family val="2"/>
      </rPr>
      <t xml:space="preserve">彡</t>
    </r>
  </si>
  <si>
    <r>
      <rPr>
        <sz val="10"/>
        <rFont val="Arial"/>
        <family val="0"/>
        <charset val="1"/>
      </rPr>
      <t xml:space="preserve">Exact name match (Pass 1) via alias screen name "</t>
    </r>
    <r>
      <rPr>
        <sz val="10"/>
        <rFont val="Noto Sans CJK SC"/>
        <family val="2"/>
      </rPr>
      <t xml:space="preserve">彡</t>
    </r>
    <r>
      <rPr>
        <sz val="10"/>
        <rFont val="Arial"/>
        <family val="0"/>
        <charset val="1"/>
      </rPr>
      <t xml:space="preserve">MiaMoR</t>
    </r>
    <r>
      <rPr>
        <sz val="10"/>
        <rFont val="Noto Sans CJK SC"/>
        <family val="2"/>
      </rPr>
      <t xml:space="preserve">彡</t>
    </r>
    <r>
      <rPr>
        <sz val="10"/>
        <rFont val="Arial"/>
        <family val="0"/>
        <charset val="1"/>
      </rPr>
      <t xml:space="preserve">"</t>
    </r>
  </si>
  <si>
    <t xml:space="preserve">R350-0263</t>
  </si>
  <si>
    <t xml:space="preserve">Winchesterr</t>
  </si>
  <si>
    <t xml:space="preserve">R350-0262</t>
  </si>
  <si>
    <t xml:space="preserve">VALN</t>
  </si>
  <si>
    <t xml:space="preserve">R350-0084</t>
  </si>
  <si>
    <t xml:space="preserve">UHTRED BR</t>
  </si>
  <si>
    <t xml:space="preserve">R350-0175</t>
  </si>
  <si>
    <t xml:space="preserve">Bối Bối</t>
  </si>
  <si>
    <t xml:space="preserve">R350-0265</t>
  </si>
  <si>
    <t xml:space="preserve">KRONUS</t>
  </si>
  <si>
    <t xml:space="preserve">R350-0167</t>
  </si>
  <si>
    <t xml:space="preserve">Cros</t>
  </si>
  <si>
    <t xml:space="preserve">R350-0148</t>
  </si>
  <si>
    <t xml:space="preserve">nephew</t>
  </si>
  <si>
    <t xml:space="preserve">R350-0146</t>
  </si>
  <si>
    <r>
      <rPr>
        <sz val="10"/>
        <rFont val="Arial"/>
        <family val="0"/>
        <charset val="1"/>
      </rPr>
      <t xml:space="preserve">Fish</t>
    </r>
    <r>
      <rPr>
        <sz val="10"/>
        <rFont val="Noto Sans CJK SC"/>
        <family val="2"/>
      </rPr>
      <t xml:space="preserve">ツ </t>
    </r>
    <r>
      <rPr>
        <sz val="10"/>
        <rFont val="Arial"/>
        <family val="0"/>
        <charset val="1"/>
      </rPr>
      <t xml:space="preserve">Ka</t>
    </r>
  </si>
  <si>
    <r>
      <rPr>
        <sz val="10"/>
        <rFont val="Arial"/>
        <family val="0"/>
        <charset val="1"/>
      </rPr>
      <t xml:space="preserve">Exact name match (Pass 1) via alias screen name "Fish</t>
    </r>
    <r>
      <rPr>
        <sz val="10"/>
        <rFont val="Noto Sans CJK SC"/>
        <family val="2"/>
      </rPr>
      <t xml:space="preserve">ツ </t>
    </r>
    <r>
      <rPr>
        <sz val="10"/>
        <rFont val="Arial"/>
        <family val="0"/>
        <charset val="1"/>
      </rPr>
      <t xml:space="preserve">Ka"</t>
    </r>
  </si>
  <si>
    <t xml:space="preserve">R350-0142</t>
  </si>
  <si>
    <t xml:space="preserve">Simona</t>
  </si>
  <si>
    <t xml:space="preserve">R350-0188</t>
  </si>
  <si>
    <t xml:space="preserve">RAIJIN</t>
  </si>
  <si>
    <t xml:space="preserve">R350-0151</t>
  </si>
  <si>
    <t xml:space="preserve">Ma 5asaK</t>
  </si>
  <si>
    <t xml:space="preserve">R350-0138</t>
  </si>
  <si>
    <t xml:space="preserve">Naineti</t>
  </si>
  <si>
    <t xml:space="preserve">R350-0173</t>
  </si>
  <si>
    <t xml:space="preserve">Witch</t>
  </si>
  <si>
    <t xml:space="preserve">R350-0152</t>
  </si>
  <si>
    <t xml:space="preserve">XxLilithxX</t>
  </si>
  <si>
    <t xml:space="preserve">R350-0161</t>
  </si>
  <si>
    <t xml:space="preserve">QuangChau</t>
  </si>
  <si>
    <t xml:space="preserve">R350-0186</t>
  </si>
  <si>
    <t xml:space="preserve">Rebel Valkyrie</t>
  </si>
  <si>
    <t xml:space="preserve">R350-0109</t>
  </si>
  <si>
    <t xml:space="preserve">Starry Nights</t>
  </si>
  <si>
    <t xml:space="preserve">R350-0087</t>
  </si>
  <si>
    <t xml:space="preserve">Mjølner</t>
  </si>
  <si>
    <t xml:space="preserve">R350-0183</t>
  </si>
  <si>
    <t xml:space="preserve">Layla</t>
  </si>
  <si>
    <t xml:space="preserve">R350-0144</t>
  </si>
  <si>
    <t xml:space="preserve">Macabeyi</t>
  </si>
  <si>
    <t xml:space="preserve">R350-0171</t>
  </si>
  <si>
    <t xml:space="preserve">KanaeL</t>
  </si>
  <si>
    <t xml:space="preserve">R350-0160</t>
  </si>
  <si>
    <t xml:space="preserve">Enem</t>
  </si>
  <si>
    <t xml:space="preserve">Exact name match (Pass 1) via alias screen name "Enem"</t>
  </si>
  <si>
    <t xml:space="preserve">R350-0179</t>
  </si>
  <si>
    <t xml:space="preserve">Surgeon OfDeath</t>
  </si>
  <si>
    <t xml:space="preserve">R350-0170</t>
  </si>
  <si>
    <t xml:space="preserve">Пуша</t>
  </si>
  <si>
    <t xml:space="preserve">R350-0182</t>
  </si>
  <si>
    <t xml:space="preserve">xxx KABUTO xxx</t>
  </si>
  <si>
    <t xml:space="preserve">R350-0195</t>
  </si>
  <si>
    <t xml:space="preserve">Zvyagovna</t>
  </si>
  <si>
    <t xml:space="preserve">Exact name match (Pass 1) via alias screen name "Zvyagovna"</t>
  </si>
  <si>
    <t xml:space="preserve">R350-0266</t>
  </si>
  <si>
    <t xml:space="preserve">SERGEY ESENIN</t>
  </si>
  <si>
    <t xml:space="preserve">R350-0176</t>
  </si>
  <si>
    <t xml:space="preserve">Cold Blood</t>
  </si>
  <si>
    <t xml:space="preserve">R350-0187</t>
  </si>
  <si>
    <t xml:space="preserve">D R A G 0 N</t>
  </si>
  <si>
    <t xml:space="preserve">R350-0121</t>
  </si>
  <si>
    <t xml:space="preserve">FAKEINSHIT</t>
  </si>
  <si>
    <t xml:space="preserve">R350-0267</t>
  </si>
  <si>
    <t xml:space="preserve">Severo</t>
  </si>
  <si>
    <t xml:space="preserve">R350-0196</t>
  </si>
  <si>
    <t xml:space="preserve">Lucid Dream</t>
  </si>
  <si>
    <t xml:space="preserve">R350-0164</t>
  </si>
  <si>
    <t xml:space="preserve">Nuca</t>
  </si>
  <si>
    <t xml:space="preserve">R350-0212</t>
  </si>
  <si>
    <t xml:space="preserve">Katrin195</t>
  </si>
  <si>
    <t xml:space="preserve">R350-0096</t>
  </si>
  <si>
    <t xml:space="preserve">Dima 1</t>
  </si>
  <si>
    <t xml:space="preserve">R350-0181</t>
  </si>
  <si>
    <t xml:space="preserve">Mqmr</t>
  </si>
  <si>
    <t xml:space="preserve">R350-0268</t>
  </si>
  <si>
    <t xml:space="preserve">Ksatras</t>
  </si>
  <si>
    <t xml:space="preserve">R350-0269</t>
  </si>
  <si>
    <t xml:space="preserve">Veto4ka</t>
  </si>
  <si>
    <t xml:space="preserve">R350-0270</t>
  </si>
  <si>
    <t xml:space="preserve">Bec</t>
  </si>
  <si>
    <t xml:space="preserve">R350-0210</t>
  </si>
  <si>
    <t xml:space="preserve">ĐaVoRa</t>
  </si>
  <si>
    <t xml:space="preserve">Exact name match (Pass 1) via alias screen name "ĐaVoRa"</t>
  </si>
  <si>
    <t xml:space="preserve">R350-0169</t>
  </si>
  <si>
    <t xml:space="preserve">Anton152</t>
  </si>
  <si>
    <t xml:space="preserve">R350-0272</t>
  </si>
  <si>
    <t xml:space="preserve">викинг 22</t>
  </si>
  <si>
    <t xml:space="preserve">R350-0271</t>
  </si>
  <si>
    <t xml:space="preserve">Tyr Olafsson</t>
  </si>
  <si>
    <t xml:space="preserve">R350-0273</t>
  </si>
  <si>
    <t xml:space="preserve">Lara4ka</t>
  </si>
  <si>
    <t xml:space="preserve">R350-0185</t>
  </si>
  <si>
    <t xml:space="preserve">hugoelse</t>
  </si>
  <si>
    <t xml:space="preserve">R350-0193</t>
  </si>
  <si>
    <t xml:space="preserve">Leader392837282</t>
  </si>
  <si>
    <t xml:space="preserve">Exact name match (Pass 1) via alias screen name "Leader392837282"</t>
  </si>
  <si>
    <t xml:space="preserve">R350-0189</t>
  </si>
  <si>
    <t xml:space="preserve">Деонисс</t>
  </si>
  <si>
    <t xml:space="preserve">R350-0274</t>
  </si>
  <si>
    <t xml:space="preserve">KsuKoX</t>
  </si>
  <si>
    <t xml:space="preserve">R350-0217</t>
  </si>
  <si>
    <t xml:space="preserve">kira21</t>
  </si>
  <si>
    <t xml:space="preserve">R350-0275</t>
  </si>
  <si>
    <t xml:space="preserve">dimon29epta</t>
  </si>
  <si>
    <t xml:space="preserve">R350-0184</t>
  </si>
  <si>
    <t xml:space="preserve">iLove350</t>
  </si>
  <si>
    <t xml:space="preserve">R350-0198</t>
  </si>
  <si>
    <t xml:space="preserve">Баночка</t>
  </si>
  <si>
    <t xml:space="preserve">R350-0040</t>
  </si>
  <si>
    <t xml:space="preserve">Pisos 4sale</t>
  </si>
  <si>
    <t xml:space="preserve">Only in D1 - LEFT TRIBE. Departure evidence type A: Power falls between D2 rows 38 Thaunt (194,463,558) and 39 TRiSTAN (192,656,245), observed adjacent in the same panel: YES</t>
  </si>
  <si>
    <t xml:space="preserve">TOTAL</t>
  </si>
  <si>
    <t xml:space="preserve">Summary  -  2026-09-11 vs 2026-09-17</t>
  </si>
  <si>
    <t xml:space="preserve">Metric</t>
  </si>
  <si>
    <t xml:space="preserve">D1 (2026-09-11)</t>
  </si>
  <si>
    <t xml:space="preserve">D2 (2026-09-17)</t>
  </si>
  <si>
    <t xml:space="preserve">Δ</t>
  </si>
  <si>
    <t xml:space="preserve">Δ %</t>
  </si>
  <si>
    <t xml:space="preserve">Members</t>
  </si>
  <si>
    <t xml:space="preserve">Tribe Power</t>
  </si>
  <si>
    <t xml:space="preserve">Tribe Kill Points</t>
  </si>
  <si>
    <t xml:space="preserve">Tribe Activity Points</t>
  </si>
  <si>
    <t xml:space="preserve">Rows excluded from the DB this batch: NONE. The stored snapshot total therefore equals the TOTAL row of the Comparison sheet exactly - difference 0.</t>
  </si>
  <si>
    <t xml:space="preserve">Table 1 - Top 20 Kill Points increase</t>
  </si>
  <si>
    <t xml:space="preserve">Member Name</t>
  </si>
  <si>
    <t xml:space="preserve">Kill Pts (D1)</t>
  </si>
  <si>
    <t xml:space="preserve">Kill Pts (D2)</t>
  </si>
  <si>
    <t xml:space="preserve">exact</t>
  </si>
  <si>
    <t xml:space="preserve">renamed</t>
  </si>
  <si>
    <t xml:space="preserve">Table 2 - Top 20 Power drop</t>
  </si>
  <si>
    <t xml:space="preserve">Table 3 - renamed / ambiguous / override  (CONFIRMATION TABLE FOR HA)</t>
  </si>
  <si>
    <t xml:space="preserve">Screen name D1</t>
  </si>
  <si>
    <t xml:space="preserve">Screen name D2</t>
  </si>
  <si>
    <t xml:space="preserve">Rank D1</t>
  </si>
  <si>
    <t xml:space="preserve">Rank D2</t>
  </si>
  <si>
    <t xml:space="preserve">Act D1</t>
  </si>
  <si>
    <t xml:space="preserve">Act D2</t>
  </si>
  <si>
    <t xml:space="preserve">mtype</t>
  </si>
  <si>
    <t xml:space="preserve">Evidence</t>
  </si>
  <si>
    <t xml:space="preserve">competitors</t>
  </si>
  <si>
    <t xml:space="preserve">neighbourhood_size</t>
  </si>
  <si>
    <t xml:space="preserve">near-identical name string + Kill Points identical to the digit</t>
  </si>
  <si>
    <t xml:space="preserve">Legend and method - comparison 2026-09-11 vs 2026-09-17</t>
  </si>
  <si>
    <t xml:space="preserve">COLOURS</t>
  </si>
  <si>
    <t xml:space="preserve">white / EBF3FB alternating = exact name match (Pass 1)</t>
  </si>
  <si>
    <t xml:space="preserve">FFF2CC = renamed / ambiguous / override pair</t>
  </si>
  <si>
    <t xml:space="preserve">FCE4D6 = only in D1 (left the tribe)</t>
  </si>
  <si>
    <t xml:space="preserve">E2EFDA = only in D2 (new member or rejoin)</t>
  </si>
  <si>
    <t xml:space="preserve">Delta font: green 00B050 = increase, red FF0000 = decrease</t>
  </si>
  <si>
    <t xml:space="preserve">BATCH CHARACTER - the three ratios of comparison SOP v8 section 13</t>
  </si>
  <si>
    <t xml:space="preserve">pass1_rate = 196 / 197 = 0.995   (normal &gt; 0.95)</t>
  </si>
  <si>
    <t xml:space="preserve">turnover  = (1 departures + 0 new) / 198 = 0.0051   (normal &lt; 0.05)</t>
  </si>
  <si>
    <t xml:space="preserve">pool_size = 2 unmatched D1 x 1 unmatched D2 = 2   (normal &lt; 100)</t>
  </si>
  <si>
    <t xml:space="preserve">All three are inside the normal band. This is a NORMAL batch - the relaxed migration-day rules of</t>
  </si>
  <si>
    <t xml:space="preserve">2026-09-06 and 2026-09-11 were NOT carried over, exactly as the standing instruction requires.</t>
  </si>
  <si>
    <t xml:space="preserve">PASSES - thresholds actually used</t>
  </si>
  <si>
    <t xml:space="preserve">ELAPSED = 6 days. RANK_WIN = min(20 x 6, 25% of 198) = 49</t>
  </si>
  <si>
    <t xml:space="preserve">Pass 1 (exact name, no rank window, three keys fkey/skey on both canonical and alias names): 196 pairs</t>
  </si>
  <si>
    <t xml:space="preserve">Pass 1 multi-candidate warnings: 0</t>
  </si>
  <si>
    <t xml:space="preserve">Pass 2 (Hungarian, score &lt; 1.5 clear names / &lt; 2.0 ambiguous): 1 pair</t>
  </si>
  <si>
    <t xml:space="preserve">Pass 3 (override: dKP &lt;= 5%, dPower &lt;= 20%, dAct &lt;= 25%, score &lt; 1.0): 0 pairs - run and recorded as required</t>
  </si>
  <si>
    <t xml:space="preserve">CONTROL GROUP AND DERIVED KP CEILING (v8 section 4)</t>
  </si>
  <si>
    <t xml:space="preserve">Control group = the 196 exact-name Pass 1 pairs. Their identity does not depend on any metric,</t>
  </si>
  <si>
    <t xml:space="preserve">so their dKP distribution is this tribe's real dKP distribution over this exact time window.</t>
  </si>
  <si>
    <t xml:space="preserve">n = 196   min = 0.0000%   median = 0.0000%   p90 = 0.0000%   max = 0.0567%</t>
  </si>
  <si>
    <t xml:space="preserve">KP_CEIL = max x 1.1 = 0.0624%. Pairs in the control group above 10%: 0.</t>
  </si>
  <si>
    <t xml:space="preserve">A flat 35%% ceiling would have filtered nothing at all here, which is precisely why v8 forbids it.</t>
  </si>
  <si>
    <t xml:space="preserve">SENSITIVITY TEST (three-plus ceilings, mandatory)</t>
  </si>
  <si>
    <t xml:space="preserve">  KP_CEIL        ceiling 0.0624%  -&gt;  1 pairs</t>
  </si>
  <si>
    <t xml:space="preserve">  KP_CEIL x1.25  ceiling 0.0780%  -&gt;  1 pairs</t>
  </si>
  <si>
    <t xml:space="preserve">  KP_CEIL x2.5   ceiling 0.1559%  -&gt;  1 pairs</t>
  </si>
  <si>
    <t xml:space="preserve">  flat 35%       ceiling 35.0000%  -&gt;  1 pairs</t>
  </si>
  <si>
    <t xml:space="preserve">Result: the single Pass 2 pair is identical at every ceiling. 0 unstable pairs.</t>
  </si>
  <si>
    <t xml:space="preserve">UNIQUENESS ANALYSIS (v8 section 5b)</t>
  </si>
  <si>
    <t xml:space="preserve">The one Pass 2 pair is not metric-only: the D1 alias screen name on 2026-09-11 was "KatalonEc"</t>
  </si>
  <si>
    <t xml:space="preserve">and the D2 screen name reads "KataloneEc" - a one-glyph difference that defeated fkey and skey.</t>
  </si>
  <si>
    <t xml:space="preserve">Kill Points are identical to the digit (9,359,834,165) and Power moved +1.04%. competitors = 0.</t>
  </si>
  <si>
    <t xml:space="preserve">RE-RUN STABILITY (v8 section 5c)</t>
  </si>
  <si>
    <t xml:space="preserve">No manual rejection was needed this batch, so no re-run artefacts could be generated. Nothing</t>
  </si>
  <si>
    <t xml:space="preserve">marked ARTEFACT_REJECTED.</t>
  </si>
  <si>
    <t xml:space="preserve">ACT PTS NEAR ZERO - is the signal usable today?</t>
  </si>
  <si>
    <t xml:space="preserve">Control-group pairs whose Act Pts fell from above 5,000,000 to below 500,000: 3 of 196 = 1.5%.</t>
  </si>
  <si>
    <t xml:space="preserve">On 2026-09-11 this rate was 14% and the signal had to be discarded. At 1.5% it is usable again,</t>
  </si>
  <si>
    <t xml:space="preserve">so an Act Pts collapse is once more treated as a leave-and-rejoin indication.</t>
  </si>
  <si>
    <t xml:space="preserve">DEPARTURE EVIDENCE (v8 section 6)</t>
  </si>
  <si>
    <t xml:space="preserve">Absence alone is never proof. Type A = Power falls between two D2 rows observed adjacent inside</t>
  </si>
  <si>
    <t xml:space="preserve">the same panel; adjacent-pair coverage this batch is 196/196, so every gap in the read range is</t>
  </si>
  <si>
    <t xml:space="preserve">proven closed. Type B = Power below the last D2 row, valid only because the extraction pipeline</t>
  </si>
  <si>
    <t xml:space="preserve">proved the bottom of the list at the SETTLED scroll position, not at the curve peak.</t>
  </si>
  <si>
    <t xml:space="preserve">  R350-0040 Pisos 4sale  -&gt;  type A: Power falls between D2 rows 38 Thaunt (194,463,558) and 39 TRiSTAN (192,656,245), observed adjacent in the same panel: YES</t>
  </si>
  <si>
    <t xml:space="preserve">Type A cases: 1. Type B cases: 0.</t>
  </si>
  <si>
    <t xml:space="preserve">REJOIN SCAN</t>
  </si>
  <si>
    <t xml:space="preserve">0 rows are present only in D2, so there is no new-member or rejoin candidate to scan for.</t>
  </si>
  <si>
    <t xml:space="preserve">The ID-history scan was therefore not needed; next free ID R350-0276 remains unused.</t>
  </si>
  <si>
    <t xml:space="preserve">BALANCE EQUATIONS</t>
  </si>
  <si>
    <t xml:space="preserve">len(D2) = matched + only_D2  -&gt;  197 = 197 + 0  OK</t>
  </si>
  <si>
    <t xml:space="preserve">len(D1) = matched + only_D1  -&gt;  198 = 197 + 1  OK</t>
  </si>
  <si>
    <t xml:space="preserve">len(D2) = len(D1) - departures + new  -&gt;  197 = 198 - 1 + 0  OK</t>
  </si>
  <si>
    <t xml:space="preserve">D1 MEMBER COUNT CAVEAT</t>
  </si>
  <si>
    <t xml:space="preserve">member_db.json stores loaded rows, not the in-game member count. The 2026-09-11 snapshot holds</t>
  </si>
  <si>
    <t xml:space="preserve">all 198 rows that were read that day; nothing was excluded, so D1 = 198 is both figures at once.</t>
  </si>
  <si>
    <t xml:space="preserve">IDENTITY RULES APPLIED</t>
  </si>
  <si>
    <t xml:space="preserve">Kill Points never decrease - any decrease is a wrong match or a data fault.</t>
  </si>
  <si>
    <t xml:space="preserve">Identity of an ambiguous name comes only from Power + Kill Points + Activity Points.</t>
  </si>
  <si>
    <t xml:space="preserve">Stroke count is not identity. No name in this batch is of the all-vertical-stroke form, so no</t>
  </si>
  <si>
    <t xml:space="preserve">stroke counting was performed - this is a real result, not a skipped step.</t>
  </si>
  <si>
    <t xml:space="preserve">Near-name pairs re-checked and kept separate: R350-0023 Falcon vs R350-0061 FalconN (both present,</t>
  </si>
  <si>
    <t xml:space="preserve">rows 52 and 62); R350-0006 skywraith vs R350-0129 skywraiith; R350-0169 Anton152 vs R350-0248</t>
  </si>
  <si>
    <t xml:space="preserve">Anton152f; R350-0217 T1 Tarek vs the excluded row T1 350; R350-0195 Zvyagovna vs R350-0249</t>
  </si>
  <si>
    <t xml:space="preserve">ZvyagovnaHelp. Each was separated on Kill Points, never on the name string.</t>
  </si>
  <si>
    <t xml:space="preserve">OPEN ITEMS</t>
  </si>
  <si>
    <t xml:space="preserve">1. capture_date 2026-09-17 is inferred from the video filename and needs Ha to confirm it.</t>
  </si>
  <si>
    <t xml:space="preserve">2. Row 67 "AHT": Latin AHT and Cyrillic ANT are indistinguishable in the game font - carried as read.</t>
  </si>
  <si>
    <t xml:space="preserve">3. Rows 5 / 66 / 145 / 153 carry decorative glyphs, recorded verbatim, not guessed.</t>
  </si>
  <si>
    <t xml:space="preserve">4. Row 174 reads "D R A G 0 N" with the DIGIT zero.</t>
  </si>
  <si>
    <t xml:space="preserve">5. R350-0044 shows an Activity Points collapse (5,487,238 -&gt; 304,500) alongside its rename; the ID</t>
  </si>
  <si>
    <t xml:space="preserve">   is unchanged either way, but Ha may want to note it as a leave-and-rejoin.</t>
  </si>
  <si>
    <t xml:space="preserve">6. No DB write and no push has been made. Awaiting Ha.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</si>
</sst>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0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B050"/>
      <name val="Arial"/>
      <family val="0"/>
      <charset val="1"/>
    </font>
    <font>
      <sz val="10"/>
      <name val="Noto Sans CJK SC"/>
      <family val="2"/>
    </font>
    <font>
      <sz val="10"/>
      <color rgb="FFFF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CCCCFF"/>
      </patternFill>
    </fill>
    <fill>
      <patternFill patternType="solid">
        <fgColor rgb="FFCD7F32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D700"/>
      <rgbColor rgb="FFFF9900"/>
      <rgbColor rgb="FFCD7F32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4" min="3" style="0" width="20"/>
    <col collapsed="false" customWidth="true" hidden="false" outlineLevel="0" max="5" min="5" style="0" width="95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2" min="11" style="0" width="14"/>
    <col collapsed="false" customWidth="true" hidden="false" outlineLevel="0" max="13" min="13" style="0" width="11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n">
        <v>1</v>
      </c>
      <c r="B5" s="4" t="s">
        <v>18</v>
      </c>
      <c r="C5" s="4" t="s">
        <v>19</v>
      </c>
      <c r="D5" s="4" t="s">
        <v>19</v>
      </c>
      <c r="E5" s="4" t="s">
        <v>20</v>
      </c>
      <c r="F5" s="5" t="n">
        <v>795795359</v>
      </c>
      <c r="G5" s="5" t="n">
        <v>44387297572</v>
      </c>
      <c r="H5" s="5" t="n">
        <v>438200</v>
      </c>
      <c r="I5" s="5" t="n">
        <v>797960693</v>
      </c>
      <c r="J5" s="5" t="n">
        <v>44387297572</v>
      </c>
      <c r="K5" s="5" t="n">
        <v>4776300</v>
      </c>
      <c r="L5" s="6" t="n">
        <f aca="false">I5-F5</f>
        <v>2165334</v>
      </c>
      <c r="M5" s="7" t="n">
        <f aca="false">IFERROR((I5-F5)/F5,"")</f>
        <v>0.00272096836895476</v>
      </c>
      <c r="N5" s="6" t="n">
        <f aca="false">J5-G5</f>
        <v>0</v>
      </c>
      <c r="O5" s="8" t="n">
        <f aca="false">IFERROR((J5-G5)/G5,"")</f>
        <v>0</v>
      </c>
      <c r="P5" s="6" t="n">
        <f aca="false">K5-H5</f>
        <v>4338100</v>
      </c>
    </row>
    <row r="6" customFormat="false" ht="15" hidden="false" customHeight="false" outlineLevel="0" collapsed="false">
      <c r="A6" s="9" t="n">
        <v>2</v>
      </c>
      <c r="B6" s="9" t="s">
        <v>21</v>
      </c>
      <c r="C6" s="9" t="s">
        <v>22</v>
      </c>
      <c r="D6" s="9" t="s">
        <v>22</v>
      </c>
      <c r="E6" s="9" t="s">
        <v>23</v>
      </c>
      <c r="F6" s="10" t="n">
        <v>557125331</v>
      </c>
      <c r="G6" s="10" t="n">
        <v>11170890274</v>
      </c>
      <c r="H6" s="10" t="n">
        <v>15274941</v>
      </c>
      <c r="I6" s="10" t="n">
        <v>569903103</v>
      </c>
      <c r="J6" s="10" t="n">
        <v>11170890274</v>
      </c>
      <c r="K6" s="10" t="n">
        <v>19918541</v>
      </c>
      <c r="L6" s="11" t="n">
        <f aca="false">I6-F6</f>
        <v>12777772</v>
      </c>
      <c r="M6" s="12" t="n">
        <f aca="false">IFERROR((I6-F6)/F6,"")</f>
        <v>0.0229351840403035</v>
      </c>
      <c r="N6" s="11" t="n">
        <f aca="false">J6-G6</f>
        <v>0</v>
      </c>
      <c r="O6" s="13" t="n">
        <f aca="false">IFERROR((J6-G6)/G6,"")</f>
        <v>0</v>
      </c>
      <c r="P6" s="11" t="n">
        <f aca="false">K6-H6</f>
        <v>4643600</v>
      </c>
    </row>
    <row r="7" customFormat="false" ht="15" hidden="false" customHeight="false" outlineLevel="0" collapsed="false">
      <c r="A7" s="4" t="n">
        <v>3</v>
      </c>
      <c r="B7" s="4" t="s">
        <v>24</v>
      </c>
      <c r="C7" s="4" t="s">
        <v>25</v>
      </c>
      <c r="D7" s="4" t="s">
        <v>25</v>
      </c>
      <c r="E7" s="4" t="s">
        <v>23</v>
      </c>
      <c r="F7" s="5" t="n">
        <v>533220504</v>
      </c>
      <c r="G7" s="5" t="n">
        <v>74850669262</v>
      </c>
      <c r="H7" s="5" t="n">
        <v>95159886</v>
      </c>
      <c r="I7" s="5" t="n">
        <v>565555159</v>
      </c>
      <c r="J7" s="5" t="n">
        <v>74850669262</v>
      </c>
      <c r="K7" s="5" t="n">
        <v>99773686</v>
      </c>
      <c r="L7" s="6" t="n">
        <f aca="false">I7-F7</f>
        <v>32334655</v>
      </c>
      <c r="M7" s="7" t="n">
        <f aca="false">IFERROR((I7-F7)/F7,"")</f>
        <v>0.0606403068851231</v>
      </c>
      <c r="N7" s="6" t="n">
        <f aca="false">J7-G7</f>
        <v>0</v>
      </c>
      <c r="O7" s="8" t="n">
        <f aca="false">IFERROR((J7-G7)/G7,"")</f>
        <v>0</v>
      </c>
      <c r="P7" s="6" t="n">
        <f aca="false">K7-H7</f>
        <v>4613800</v>
      </c>
    </row>
    <row r="8" customFormat="false" ht="15" hidden="false" customHeight="false" outlineLevel="0" collapsed="false">
      <c r="A8" s="9" t="n">
        <v>4</v>
      </c>
      <c r="B8" s="9" t="s">
        <v>26</v>
      </c>
      <c r="C8" s="9" t="s">
        <v>27</v>
      </c>
      <c r="D8" s="9" t="s">
        <v>28</v>
      </c>
      <c r="E8" s="9" t="s">
        <v>23</v>
      </c>
      <c r="F8" s="10" t="n">
        <v>342180435</v>
      </c>
      <c r="G8" s="10" t="n">
        <v>36464460217</v>
      </c>
      <c r="H8" s="10" t="n">
        <v>15533306</v>
      </c>
      <c r="I8" s="10" t="n">
        <v>345546997</v>
      </c>
      <c r="J8" s="10" t="n">
        <v>36464460217</v>
      </c>
      <c r="K8" s="10" t="n">
        <v>20090806</v>
      </c>
      <c r="L8" s="11" t="n">
        <f aca="false">I8-F8</f>
        <v>3366562</v>
      </c>
      <c r="M8" s="12" t="n">
        <f aca="false">IFERROR((I8-F8)/F8,"")</f>
        <v>0.00983855783572196</v>
      </c>
      <c r="N8" s="11" t="n">
        <f aca="false">J8-G8</f>
        <v>0</v>
      </c>
      <c r="O8" s="13" t="n">
        <f aca="false">IFERROR((J8-G8)/G8,"")</f>
        <v>0</v>
      </c>
      <c r="P8" s="11" t="n">
        <f aca="false">K8-H8</f>
        <v>4557500</v>
      </c>
    </row>
    <row r="9" customFormat="false" ht="15" hidden="false" customHeight="false" outlineLevel="0" collapsed="false">
      <c r="A9" s="4" t="n">
        <v>5</v>
      </c>
      <c r="B9" s="4" t="s">
        <v>29</v>
      </c>
      <c r="C9" s="4" t="s">
        <v>30</v>
      </c>
      <c r="D9" s="4" t="s">
        <v>30</v>
      </c>
      <c r="E9" s="4" t="s">
        <v>31</v>
      </c>
      <c r="F9" s="5" t="n">
        <v>285647169</v>
      </c>
      <c r="G9" s="5" t="n">
        <v>29293788079</v>
      </c>
      <c r="H9" s="5" t="n">
        <v>179700</v>
      </c>
      <c r="I9" s="5" t="n">
        <v>294166537</v>
      </c>
      <c r="J9" s="5" t="n">
        <v>29293788079</v>
      </c>
      <c r="K9" s="5" t="n">
        <v>4771500</v>
      </c>
      <c r="L9" s="6" t="n">
        <f aca="false">I9-F9</f>
        <v>8519368</v>
      </c>
      <c r="M9" s="7" t="n">
        <f aca="false">IFERROR((I9-F9)/F9,"")</f>
        <v>0.0298247940976443</v>
      </c>
      <c r="N9" s="6" t="n">
        <f aca="false">J9-G9</f>
        <v>0</v>
      </c>
      <c r="O9" s="8" t="n">
        <f aca="false">IFERROR((J9-G9)/G9,"")</f>
        <v>0</v>
      </c>
      <c r="P9" s="6" t="n">
        <f aca="false">K9-H9</f>
        <v>4591800</v>
      </c>
    </row>
    <row r="10" customFormat="false" ht="15" hidden="false" customHeight="false" outlineLevel="0" collapsed="false">
      <c r="A10" s="9" t="n">
        <v>6</v>
      </c>
      <c r="B10" s="9" t="s">
        <v>32</v>
      </c>
      <c r="C10" s="9" t="s">
        <v>33</v>
      </c>
      <c r="D10" s="9" t="s">
        <v>33</v>
      </c>
      <c r="E10" s="9" t="s">
        <v>23</v>
      </c>
      <c r="F10" s="10" t="n">
        <v>260716770</v>
      </c>
      <c r="G10" s="10" t="n">
        <v>21593567029</v>
      </c>
      <c r="H10" s="10" t="n">
        <v>13841828</v>
      </c>
      <c r="I10" s="10" t="n">
        <v>274084353</v>
      </c>
      <c r="J10" s="10" t="n">
        <v>21593567029</v>
      </c>
      <c r="K10" s="10" t="n">
        <v>689700</v>
      </c>
      <c r="L10" s="11" t="n">
        <f aca="false">I10-F10</f>
        <v>13367583</v>
      </c>
      <c r="M10" s="12" t="n">
        <f aca="false">IFERROR((I10-F10)/F10,"")</f>
        <v>0.051272432532821</v>
      </c>
      <c r="N10" s="11" t="n">
        <f aca="false">J10-G10</f>
        <v>0</v>
      </c>
      <c r="O10" s="13" t="n">
        <f aca="false">IFERROR((J10-G10)/G10,"")</f>
        <v>0</v>
      </c>
      <c r="P10" s="14" t="n">
        <f aca="false">K10-H10</f>
        <v>-13152128</v>
      </c>
    </row>
    <row r="11" customFormat="false" ht="15" hidden="false" customHeight="false" outlineLevel="0" collapsed="false">
      <c r="A11" s="4" t="n">
        <v>7</v>
      </c>
      <c r="B11" s="4" t="s">
        <v>34</v>
      </c>
      <c r="C11" s="4" t="s">
        <v>35</v>
      </c>
      <c r="D11" s="4" t="s">
        <v>35</v>
      </c>
      <c r="E11" s="4" t="s">
        <v>23</v>
      </c>
      <c r="F11" s="5" t="n">
        <v>243753086</v>
      </c>
      <c r="G11" s="5" t="n">
        <v>9077416979</v>
      </c>
      <c r="H11" s="5" t="n">
        <v>27459390</v>
      </c>
      <c r="I11" s="5" t="n">
        <v>265545435</v>
      </c>
      <c r="J11" s="5" t="n">
        <v>9077416979</v>
      </c>
      <c r="K11" s="5" t="n">
        <v>32284590</v>
      </c>
      <c r="L11" s="6" t="n">
        <f aca="false">I11-F11</f>
        <v>21792349</v>
      </c>
      <c r="M11" s="7" t="n">
        <f aca="false">IFERROR((I11-F11)/F11,"")</f>
        <v>0.0894033768253502</v>
      </c>
      <c r="N11" s="6" t="n">
        <f aca="false">J11-G11</f>
        <v>0</v>
      </c>
      <c r="O11" s="8" t="n">
        <f aca="false">IFERROR((J11-G11)/G11,"")</f>
        <v>0</v>
      </c>
      <c r="P11" s="6" t="n">
        <f aca="false">K11-H11</f>
        <v>4825200</v>
      </c>
    </row>
    <row r="12" customFormat="false" ht="15" hidden="false" customHeight="false" outlineLevel="0" collapsed="false">
      <c r="A12" s="9" t="n">
        <v>8</v>
      </c>
      <c r="B12" s="9" t="s">
        <v>36</v>
      </c>
      <c r="C12" s="9" t="s">
        <v>37</v>
      </c>
      <c r="D12" s="9" t="s">
        <v>37</v>
      </c>
      <c r="E12" s="9" t="s">
        <v>23</v>
      </c>
      <c r="F12" s="10" t="n">
        <v>247005777</v>
      </c>
      <c r="G12" s="10" t="n">
        <v>11818834082</v>
      </c>
      <c r="H12" s="10" t="n">
        <v>1769415</v>
      </c>
      <c r="I12" s="10" t="n">
        <v>260132768</v>
      </c>
      <c r="J12" s="10" t="n">
        <v>11818834082</v>
      </c>
      <c r="K12" s="10" t="n">
        <v>6256515</v>
      </c>
      <c r="L12" s="11" t="n">
        <f aca="false">I12-F12</f>
        <v>13126991</v>
      </c>
      <c r="M12" s="12" t="n">
        <f aca="false">IFERROR((I12-F12)/F12,"")</f>
        <v>0.0531444695724667</v>
      </c>
      <c r="N12" s="11" t="n">
        <f aca="false">J12-G12</f>
        <v>0</v>
      </c>
      <c r="O12" s="13" t="n">
        <f aca="false">IFERROR((J12-G12)/G12,"")</f>
        <v>0</v>
      </c>
      <c r="P12" s="11" t="n">
        <f aca="false">K12-H12</f>
        <v>4487100</v>
      </c>
    </row>
    <row r="13" customFormat="false" ht="15" hidden="false" customHeight="false" outlineLevel="0" collapsed="false">
      <c r="A13" s="4" t="n">
        <v>9</v>
      </c>
      <c r="B13" s="4" t="s">
        <v>38</v>
      </c>
      <c r="C13" s="4" t="s">
        <v>39</v>
      </c>
      <c r="D13" s="4" t="s">
        <v>39</v>
      </c>
      <c r="E13" s="4" t="s">
        <v>23</v>
      </c>
      <c r="F13" s="5" t="n">
        <v>239963442</v>
      </c>
      <c r="G13" s="5" t="n">
        <v>29997035357</v>
      </c>
      <c r="H13" s="5" t="n">
        <v>0</v>
      </c>
      <c r="I13" s="5" t="n">
        <v>247355133</v>
      </c>
      <c r="J13" s="5" t="n">
        <v>29997035357</v>
      </c>
      <c r="K13" s="5" t="n">
        <v>4719900</v>
      </c>
      <c r="L13" s="6" t="n">
        <f aca="false">I13-F13</f>
        <v>7391691</v>
      </c>
      <c r="M13" s="7" t="n">
        <f aca="false">IFERROR((I13-F13)/F13,"")</f>
        <v>0.0308034046286101</v>
      </c>
      <c r="N13" s="6" t="n">
        <f aca="false">J13-G13</f>
        <v>0</v>
      </c>
      <c r="O13" s="8" t="n">
        <f aca="false">IFERROR((J13-G13)/G13,"")</f>
        <v>0</v>
      </c>
      <c r="P13" s="6" t="n">
        <f aca="false">K13-H13</f>
        <v>4719900</v>
      </c>
    </row>
    <row r="14" customFormat="false" ht="15" hidden="false" customHeight="false" outlineLevel="0" collapsed="false">
      <c r="A14" s="9" t="n">
        <v>10</v>
      </c>
      <c r="B14" s="9" t="s">
        <v>40</v>
      </c>
      <c r="C14" s="9" t="s">
        <v>41</v>
      </c>
      <c r="D14" s="9" t="s">
        <v>41</v>
      </c>
      <c r="E14" s="9" t="s">
        <v>23</v>
      </c>
      <c r="F14" s="10" t="n">
        <v>233915074</v>
      </c>
      <c r="G14" s="10" t="n">
        <v>15218928203</v>
      </c>
      <c r="H14" s="10" t="n">
        <v>20283659</v>
      </c>
      <c r="I14" s="10" t="n">
        <v>242050953</v>
      </c>
      <c r="J14" s="10" t="n">
        <v>15218928203</v>
      </c>
      <c r="K14" s="10" t="n">
        <v>24728059</v>
      </c>
      <c r="L14" s="11" t="n">
        <f aca="false">I14-F14</f>
        <v>8135879</v>
      </c>
      <c r="M14" s="12" t="n">
        <f aca="false">IFERROR((I14-F14)/F14,"")</f>
        <v>0.0347813369223054</v>
      </c>
      <c r="N14" s="11" t="n">
        <f aca="false">J14-G14</f>
        <v>0</v>
      </c>
      <c r="O14" s="13" t="n">
        <f aca="false">IFERROR((J14-G14)/G14,"")</f>
        <v>0</v>
      </c>
      <c r="P14" s="11" t="n">
        <f aca="false">K14-H14</f>
        <v>4444400</v>
      </c>
    </row>
    <row r="15" customFormat="false" ht="15" hidden="false" customHeight="false" outlineLevel="0" collapsed="false">
      <c r="A15" s="4" t="n">
        <v>11</v>
      </c>
      <c r="B15" s="4" t="s">
        <v>42</v>
      </c>
      <c r="C15" s="4" t="s">
        <v>43</v>
      </c>
      <c r="D15" s="4" t="s">
        <v>43</v>
      </c>
      <c r="E15" s="4" t="s">
        <v>23</v>
      </c>
      <c r="F15" s="5" t="n">
        <v>234923758</v>
      </c>
      <c r="G15" s="5" t="n">
        <v>13551276144</v>
      </c>
      <c r="H15" s="5" t="n">
        <v>6070411</v>
      </c>
      <c r="I15" s="5" t="n">
        <v>237642030</v>
      </c>
      <c r="J15" s="5" t="n">
        <v>13551276144</v>
      </c>
      <c r="K15" s="5" t="n">
        <v>10634632</v>
      </c>
      <c r="L15" s="6" t="n">
        <f aca="false">I15-F15</f>
        <v>2718272</v>
      </c>
      <c r="M15" s="7" t="n">
        <f aca="false">IFERROR((I15-F15)/F15,"")</f>
        <v>0.0115708688773828</v>
      </c>
      <c r="N15" s="6" t="n">
        <f aca="false">J15-G15</f>
        <v>0</v>
      </c>
      <c r="O15" s="8" t="n">
        <f aca="false">IFERROR((J15-G15)/G15,"")</f>
        <v>0</v>
      </c>
      <c r="P15" s="6" t="n">
        <f aca="false">K15-H15</f>
        <v>4564221</v>
      </c>
    </row>
    <row r="16" customFormat="false" ht="15" hidden="false" customHeight="false" outlineLevel="0" collapsed="false">
      <c r="A16" s="9" t="n">
        <v>12</v>
      </c>
      <c r="B16" s="9" t="s">
        <v>44</v>
      </c>
      <c r="C16" s="9" t="s">
        <v>45</v>
      </c>
      <c r="D16" s="9" t="s">
        <v>45</v>
      </c>
      <c r="E16" s="9" t="s">
        <v>23</v>
      </c>
      <c r="F16" s="10" t="n">
        <v>232678391</v>
      </c>
      <c r="G16" s="10" t="n">
        <v>45301728991</v>
      </c>
      <c r="H16" s="10" t="n">
        <v>5620425</v>
      </c>
      <c r="I16" s="10" t="n">
        <v>234181340</v>
      </c>
      <c r="J16" s="10" t="n">
        <v>45301728991</v>
      </c>
      <c r="K16" s="10" t="n">
        <v>9987925</v>
      </c>
      <c r="L16" s="11" t="n">
        <f aca="false">I16-F16</f>
        <v>1502949</v>
      </c>
      <c r="M16" s="12" t="n">
        <f aca="false">IFERROR((I16-F16)/F16,"")</f>
        <v>0.00645934069571592</v>
      </c>
      <c r="N16" s="11" t="n">
        <f aca="false">J16-G16</f>
        <v>0</v>
      </c>
      <c r="O16" s="13" t="n">
        <f aca="false">IFERROR((J16-G16)/G16,"")</f>
        <v>0</v>
      </c>
      <c r="P16" s="11" t="n">
        <f aca="false">K16-H16</f>
        <v>4367500</v>
      </c>
    </row>
    <row r="17" customFormat="false" ht="15" hidden="false" customHeight="false" outlineLevel="0" collapsed="false">
      <c r="A17" s="4" t="n">
        <v>13</v>
      </c>
      <c r="B17" s="4" t="s">
        <v>46</v>
      </c>
      <c r="C17" s="4" t="s">
        <v>47</v>
      </c>
      <c r="D17" s="4" t="s">
        <v>47</v>
      </c>
      <c r="E17" s="4" t="s">
        <v>23</v>
      </c>
      <c r="F17" s="5" t="n">
        <v>210144334</v>
      </c>
      <c r="G17" s="5" t="n">
        <v>7281025922</v>
      </c>
      <c r="H17" s="5" t="n">
        <v>69496924</v>
      </c>
      <c r="I17" s="5" t="n">
        <v>230076078</v>
      </c>
      <c r="J17" s="5" t="n">
        <v>7281025922</v>
      </c>
      <c r="K17" s="5" t="n">
        <v>73997542</v>
      </c>
      <c r="L17" s="6" t="n">
        <f aca="false">I17-F17</f>
        <v>19931744</v>
      </c>
      <c r="M17" s="7" t="n">
        <f aca="false">IFERROR((I17-F17)/F17,"")</f>
        <v>0.0948478772689632</v>
      </c>
      <c r="N17" s="6" t="n">
        <f aca="false">J17-G17</f>
        <v>0</v>
      </c>
      <c r="O17" s="8" t="n">
        <f aca="false">IFERROR((J17-G17)/G17,"")</f>
        <v>0</v>
      </c>
      <c r="P17" s="6" t="n">
        <f aca="false">K17-H17</f>
        <v>4500618</v>
      </c>
    </row>
    <row r="18" customFormat="false" ht="15" hidden="false" customHeight="false" outlineLevel="0" collapsed="false">
      <c r="A18" s="9" t="n">
        <v>14</v>
      </c>
      <c r="B18" s="9" t="s">
        <v>48</v>
      </c>
      <c r="C18" s="9" t="s">
        <v>49</v>
      </c>
      <c r="D18" s="9" t="s">
        <v>49</v>
      </c>
      <c r="E18" s="9" t="s">
        <v>23</v>
      </c>
      <c r="F18" s="10" t="n">
        <v>226308064</v>
      </c>
      <c r="G18" s="10" t="n">
        <v>9650065559</v>
      </c>
      <c r="H18" s="10" t="n">
        <v>6950768</v>
      </c>
      <c r="I18" s="10" t="n">
        <v>227579628</v>
      </c>
      <c r="J18" s="10" t="n">
        <v>9650065559</v>
      </c>
      <c r="K18" s="10" t="n">
        <v>11499868</v>
      </c>
      <c r="L18" s="11" t="n">
        <f aca="false">I18-F18</f>
        <v>1271564</v>
      </c>
      <c r="M18" s="12" t="n">
        <f aca="false">IFERROR((I18-F18)/F18,"")</f>
        <v>0.00561873040458691</v>
      </c>
      <c r="N18" s="11" t="n">
        <f aca="false">J18-G18</f>
        <v>0</v>
      </c>
      <c r="O18" s="13" t="n">
        <f aca="false">IFERROR((J18-G18)/G18,"")</f>
        <v>0</v>
      </c>
      <c r="P18" s="11" t="n">
        <f aca="false">K18-H18</f>
        <v>4549100</v>
      </c>
    </row>
    <row r="19" customFormat="false" ht="15" hidden="false" customHeight="false" outlineLevel="0" collapsed="false">
      <c r="A19" s="4" t="n">
        <v>15</v>
      </c>
      <c r="B19" s="4" t="s">
        <v>50</v>
      </c>
      <c r="C19" s="4" t="s">
        <v>51</v>
      </c>
      <c r="D19" s="4" t="s">
        <v>51</v>
      </c>
      <c r="E19" s="4" t="s">
        <v>23</v>
      </c>
      <c r="F19" s="5" t="n">
        <v>219731556</v>
      </c>
      <c r="G19" s="5" t="n">
        <v>14499968080</v>
      </c>
      <c r="H19" s="5" t="n">
        <v>2039652</v>
      </c>
      <c r="I19" s="5" t="n">
        <v>226859995</v>
      </c>
      <c r="J19" s="5" t="n">
        <v>14499968080</v>
      </c>
      <c r="K19" s="5" t="n">
        <v>6582652</v>
      </c>
      <c r="L19" s="6" t="n">
        <f aca="false">I19-F19</f>
        <v>7128439</v>
      </c>
      <c r="M19" s="7" t="n">
        <f aca="false">IFERROR((I19-F19)/F19,"")</f>
        <v>0.0324415806712806</v>
      </c>
      <c r="N19" s="6" t="n">
        <f aca="false">J19-G19</f>
        <v>0</v>
      </c>
      <c r="O19" s="8" t="n">
        <f aca="false">IFERROR((J19-G19)/G19,"")</f>
        <v>0</v>
      </c>
      <c r="P19" s="6" t="n">
        <f aca="false">K19-H19</f>
        <v>4543000</v>
      </c>
    </row>
    <row r="20" customFormat="false" ht="15" hidden="false" customHeight="false" outlineLevel="0" collapsed="false">
      <c r="A20" s="9" t="n">
        <v>16</v>
      </c>
      <c r="B20" s="9" t="s">
        <v>52</v>
      </c>
      <c r="C20" s="9" t="s">
        <v>53</v>
      </c>
      <c r="D20" s="9" t="s">
        <v>53</v>
      </c>
      <c r="E20" s="9" t="s">
        <v>23</v>
      </c>
      <c r="F20" s="10" t="n">
        <v>224849523</v>
      </c>
      <c r="G20" s="10" t="n">
        <v>33286714838</v>
      </c>
      <c r="H20" s="10" t="n">
        <v>361353</v>
      </c>
      <c r="I20" s="10" t="n">
        <v>226510970</v>
      </c>
      <c r="J20" s="10" t="n">
        <v>33286714838</v>
      </c>
      <c r="K20" s="10" t="n">
        <v>5032053</v>
      </c>
      <c r="L20" s="11" t="n">
        <f aca="false">I20-F20</f>
        <v>1661447</v>
      </c>
      <c r="M20" s="12" t="n">
        <f aca="false">IFERROR((I20-F20)/F20,"")</f>
        <v>0.00738915065432449</v>
      </c>
      <c r="N20" s="11" t="n">
        <f aca="false">J20-G20</f>
        <v>0</v>
      </c>
      <c r="O20" s="13" t="n">
        <f aca="false">IFERROR((J20-G20)/G20,"")</f>
        <v>0</v>
      </c>
      <c r="P20" s="11" t="n">
        <f aca="false">K20-H20</f>
        <v>4670700</v>
      </c>
    </row>
    <row r="21" customFormat="false" ht="15" hidden="false" customHeight="false" outlineLevel="0" collapsed="false">
      <c r="A21" s="4" t="n">
        <v>17</v>
      </c>
      <c r="B21" s="4" t="s">
        <v>54</v>
      </c>
      <c r="C21" s="4" t="s">
        <v>55</v>
      </c>
      <c r="D21" s="4" t="s">
        <v>55</v>
      </c>
      <c r="E21" s="4" t="s">
        <v>23</v>
      </c>
      <c r="F21" s="5" t="n">
        <v>222758707</v>
      </c>
      <c r="G21" s="5" t="n">
        <v>2046091192</v>
      </c>
      <c r="H21" s="5" t="n">
        <v>220500</v>
      </c>
      <c r="I21" s="5" t="n">
        <v>223503194</v>
      </c>
      <c r="J21" s="5" t="n">
        <v>2046091192</v>
      </c>
      <c r="K21" s="5" t="n">
        <v>4970656</v>
      </c>
      <c r="L21" s="6" t="n">
        <f aca="false">I21-F21</f>
        <v>744487</v>
      </c>
      <c r="M21" s="7" t="n">
        <f aca="false">IFERROR((I21-F21)/F21,"")</f>
        <v>0.00334212300846225</v>
      </c>
      <c r="N21" s="6" t="n">
        <f aca="false">J21-G21</f>
        <v>0</v>
      </c>
      <c r="O21" s="8" t="n">
        <f aca="false">IFERROR((J21-G21)/G21,"")</f>
        <v>0</v>
      </c>
      <c r="P21" s="6" t="n">
        <f aca="false">K21-H21</f>
        <v>4750156</v>
      </c>
    </row>
    <row r="22" customFormat="false" ht="15" hidden="false" customHeight="false" outlineLevel="0" collapsed="false">
      <c r="A22" s="9" t="n">
        <v>18</v>
      </c>
      <c r="B22" s="9" t="s">
        <v>56</v>
      </c>
      <c r="C22" s="9" t="s">
        <v>57</v>
      </c>
      <c r="D22" s="9" t="s">
        <v>57</v>
      </c>
      <c r="E22" s="9" t="s">
        <v>23</v>
      </c>
      <c r="F22" s="10" t="n">
        <v>221822970</v>
      </c>
      <c r="G22" s="10" t="n">
        <v>18606936752</v>
      </c>
      <c r="H22" s="10" t="n">
        <v>13421532</v>
      </c>
      <c r="I22" s="10" t="n">
        <v>222430787</v>
      </c>
      <c r="J22" s="10" t="n">
        <v>18606936752</v>
      </c>
      <c r="K22" s="10" t="n">
        <v>17989232</v>
      </c>
      <c r="L22" s="11" t="n">
        <f aca="false">I22-F22</f>
        <v>607817</v>
      </c>
      <c r="M22" s="12" t="n">
        <f aca="false">IFERROR((I22-F22)/F22,"")</f>
        <v>0.00274009945859079</v>
      </c>
      <c r="N22" s="11" t="n">
        <f aca="false">J22-G22</f>
        <v>0</v>
      </c>
      <c r="O22" s="13" t="n">
        <f aca="false">IFERROR((J22-G22)/G22,"")</f>
        <v>0</v>
      </c>
      <c r="P22" s="11" t="n">
        <f aca="false">K22-H22</f>
        <v>4567700</v>
      </c>
    </row>
    <row r="23" customFormat="false" ht="15" hidden="false" customHeight="false" outlineLevel="0" collapsed="false">
      <c r="A23" s="4" t="n">
        <v>19</v>
      </c>
      <c r="B23" s="4" t="s">
        <v>58</v>
      </c>
      <c r="C23" s="4" t="s">
        <v>59</v>
      </c>
      <c r="D23" s="4" t="s">
        <v>59</v>
      </c>
      <c r="E23" s="4" t="s">
        <v>23</v>
      </c>
      <c r="F23" s="5" t="n">
        <v>219249383</v>
      </c>
      <c r="G23" s="5" t="n">
        <v>23012436363</v>
      </c>
      <c r="H23" s="5" t="n">
        <v>19521409</v>
      </c>
      <c r="I23" s="5" t="n">
        <v>219368424</v>
      </c>
      <c r="J23" s="5" t="n">
        <v>23012436363</v>
      </c>
      <c r="K23" s="5" t="n">
        <v>23849909</v>
      </c>
      <c r="L23" s="6" t="n">
        <f aca="false">I23-F23</f>
        <v>119041</v>
      </c>
      <c r="M23" s="7" t="n">
        <f aca="false">IFERROR((I23-F23)/F23,"")</f>
        <v>0.000542947936140828</v>
      </c>
      <c r="N23" s="6" t="n">
        <f aca="false">J23-G23</f>
        <v>0</v>
      </c>
      <c r="O23" s="8" t="n">
        <f aca="false">IFERROR((J23-G23)/G23,"")</f>
        <v>0</v>
      </c>
      <c r="P23" s="6" t="n">
        <f aca="false">K23-H23</f>
        <v>4328500</v>
      </c>
    </row>
    <row r="24" customFormat="false" ht="15" hidden="false" customHeight="false" outlineLevel="0" collapsed="false">
      <c r="A24" s="9" t="n">
        <v>20</v>
      </c>
      <c r="B24" s="9" t="s">
        <v>60</v>
      </c>
      <c r="C24" s="9" t="s">
        <v>61</v>
      </c>
      <c r="D24" s="9" t="s">
        <v>61</v>
      </c>
      <c r="E24" s="9" t="s">
        <v>23</v>
      </c>
      <c r="F24" s="10" t="n">
        <v>208074543</v>
      </c>
      <c r="G24" s="10" t="n">
        <v>2395554537</v>
      </c>
      <c r="H24" s="10" t="n">
        <v>21422892</v>
      </c>
      <c r="I24" s="10" t="n">
        <v>213979415</v>
      </c>
      <c r="J24" s="10" t="n">
        <v>2395554537</v>
      </c>
      <c r="K24" s="10" t="n">
        <v>26048048</v>
      </c>
      <c r="L24" s="11" t="n">
        <f aca="false">I24-F24</f>
        <v>5904872</v>
      </c>
      <c r="M24" s="12" t="n">
        <f aca="false">IFERROR((I24-F24)/F24,"")</f>
        <v>0.0283786373617074</v>
      </c>
      <c r="N24" s="11" t="n">
        <f aca="false">J24-G24</f>
        <v>0</v>
      </c>
      <c r="O24" s="13" t="n">
        <f aca="false">IFERROR((J24-G24)/G24,"")</f>
        <v>0</v>
      </c>
      <c r="P24" s="11" t="n">
        <f aca="false">K24-H24</f>
        <v>4625156</v>
      </c>
    </row>
    <row r="25" customFormat="false" ht="15" hidden="false" customHeight="false" outlineLevel="0" collapsed="false">
      <c r="A25" s="4" t="n">
        <v>21</v>
      </c>
      <c r="B25" s="4" t="s">
        <v>62</v>
      </c>
      <c r="C25" s="4" t="s">
        <v>63</v>
      </c>
      <c r="D25" s="4" t="s">
        <v>63</v>
      </c>
      <c r="E25" s="4" t="s">
        <v>23</v>
      </c>
      <c r="F25" s="5" t="n">
        <v>208748245</v>
      </c>
      <c r="G25" s="5" t="n">
        <v>6592953922</v>
      </c>
      <c r="H25" s="5" t="n">
        <v>1687946</v>
      </c>
      <c r="I25" s="5" t="n">
        <v>213549766</v>
      </c>
      <c r="J25" s="5" t="n">
        <v>6592954198</v>
      </c>
      <c r="K25" s="5" t="n">
        <v>463676</v>
      </c>
      <c r="L25" s="6" t="n">
        <f aca="false">I25-F25</f>
        <v>4801521</v>
      </c>
      <c r="M25" s="7" t="n">
        <f aca="false">IFERROR((I25-F25)/F25,"")</f>
        <v>0.0230014915814023</v>
      </c>
      <c r="N25" s="6" t="n">
        <f aca="false">J25-G25</f>
        <v>276</v>
      </c>
      <c r="O25" s="8" t="n">
        <f aca="false">IFERROR((J25-G25)/G25,"")</f>
        <v>4.18628741024591E-008</v>
      </c>
      <c r="P25" s="15" t="n">
        <f aca="false">K25-H25</f>
        <v>-1224270</v>
      </c>
    </row>
    <row r="26" customFormat="false" ht="15" hidden="false" customHeight="false" outlineLevel="0" collapsed="false">
      <c r="A26" s="9" t="n">
        <v>22</v>
      </c>
      <c r="B26" s="9" t="s">
        <v>64</v>
      </c>
      <c r="C26" s="9" t="s">
        <v>65</v>
      </c>
      <c r="D26" s="9" t="s">
        <v>65</v>
      </c>
      <c r="E26" s="9" t="s">
        <v>23</v>
      </c>
      <c r="F26" s="10" t="n">
        <v>209853994</v>
      </c>
      <c r="G26" s="10" t="n">
        <v>11232884309</v>
      </c>
      <c r="H26" s="10" t="n">
        <v>9206824</v>
      </c>
      <c r="I26" s="10" t="n">
        <v>213114298</v>
      </c>
      <c r="J26" s="10" t="n">
        <v>11232884309</v>
      </c>
      <c r="K26" s="10" t="n">
        <v>13712824</v>
      </c>
      <c r="L26" s="11" t="n">
        <f aca="false">I26-F26</f>
        <v>3260304</v>
      </c>
      <c r="M26" s="12" t="n">
        <f aca="false">IFERROR((I26-F26)/F26,"")</f>
        <v>0.0155360588467046</v>
      </c>
      <c r="N26" s="11" t="n">
        <f aca="false">J26-G26</f>
        <v>0</v>
      </c>
      <c r="O26" s="13" t="n">
        <f aca="false">IFERROR((J26-G26)/G26,"")</f>
        <v>0</v>
      </c>
      <c r="P26" s="11" t="n">
        <f aca="false">K26-H26</f>
        <v>4506000</v>
      </c>
    </row>
    <row r="27" customFormat="false" ht="15" hidden="false" customHeight="false" outlineLevel="0" collapsed="false">
      <c r="A27" s="4" t="n">
        <v>23</v>
      </c>
      <c r="B27" s="4" t="s">
        <v>66</v>
      </c>
      <c r="C27" s="4" t="s">
        <v>67</v>
      </c>
      <c r="D27" s="4" t="s">
        <v>67</v>
      </c>
      <c r="E27" s="4" t="s">
        <v>23</v>
      </c>
      <c r="F27" s="5" t="n">
        <v>201505375</v>
      </c>
      <c r="G27" s="5" t="n">
        <v>4698283628</v>
      </c>
      <c r="H27" s="5" t="n">
        <v>31326303</v>
      </c>
      <c r="I27" s="5" t="n">
        <v>212476922</v>
      </c>
      <c r="J27" s="5" t="n">
        <v>4698283628</v>
      </c>
      <c r="K27" s="5" t="n">
        <v>35961003</v>
      </c>
      <c r="L27" s="6" t="n">
        <f aca="false">I27-F27</f>
        <v>10971547</v>
      </c>
      <c r="M27" s="7" t="n">
        <f aca="false">IFERROR((I27-F27)/F27,"")</f>
        <v>0.0544479123695832</v>
      </c>
      <c r="N27" s="6" t="n">
        <f aca="false">J27-G27</f>
        <v>0</v>
      </c>
      <c r="O27" s="8" t="n">
        <f aca="false">IFERROR((J27-G27)/G27,"")</f>
        <v>0</v>
      </c>
      <c r="P27" s="6" t="n">
        <f aca="false">K27-H27</f>
        <v>4634700</v>
      </c>
    </row>
    <row r="28" customFormat="false" ht="15" hidden="false" customHeight="false" outlineLevel="0" collapsed="false">
      <c r="A28" s="9" t="n">
        <v>24</v>
      </c>
      <c r="B28" s="9" t="s">
        <v>68</v>
      </c>
      <c r="C28" s="9" t="s">
        <v>69</v>
      </c>
      <c r="D28" s="9" t="s">
        <v>69</v>
      </c>
      <c r="E28" s="9" t="s">
        <v>23</v>
      </c>
      <c r="F28" s="10" t="n">
        <v>203476640</v>
      </c>
      <c r="G28" s="10" t="n">
        <v>3424230807</v>
      </c>
      <c r="H28" s="10" t="n">
        <v>68833692</v>
      </c>
      <c r="I28" s="10" t="n">
        <v>208210529</v>
      </c>
      <c r="J28" s="10" t="n">
        <v>3424230807</v>
      </c>
      <c r="K28" s="10" t="n">
        <v>73241492</v>
      </c>
      <c r="L28" s="11" t="n">
        <f aca="false">I28-F28</f>
        <v>4733889</v>
      </c>
      <c r="M28" s="12" t="n">
        <f aca="false">IFERROR((I28-F28)/F28,"")</f>
        <v>0.0232650244273741</v>
      </c>
      <c r="N28" s="11" t="n">
        <f aca="false">J28-G28</f>
        <v>0</v>
      </c>
      <c r="O28" s="13" t="n">
        <f aca="false">IFERROR((J28-G28)/G28,"")</f>
        <v>0</v>
      </c>
      <c r="P28" s="11" t="n">
        <f aca="false">K28-H28</f>
        <v>4407800</v>
      </c>
    </row>
    <row r="29" customFormat="false" ht="15" hidden="false" customHeight="false" outlineLevel="0" collapsed="false">
      <c r="A29" s="4" t="n">
        <v>25</v>
      </c>
      <c r="B29" s="4" t="s">
        <v>70</v>
      </c>
      <c r="C29" s="4" t="s">
        <v>71</v>
      </c>
      <c r="D29" s="4" t="s">
        <v>71</v>
      </c>
      <c r="E29" s="4" t="s">
        <v>23</v>
      </c>
      <c r="F29" s="5" t="n">
        <v>204859890</v>
      </c>
      <c r="G29" s="5" t="n">
        <v>5908785222</v>
      </c>
      <c r="H29" s="5" t="n">
        <v>303000</v>
      </c>
      <c r="I29" s="5" t="n">
        <v>208090227</v>
      </c>
      <c r="J29" s="5" t="n">
        <v>5908785222</v>
      </c>
      <c r="K29" s="5" t="n">
        <v>4269100</v>
      </c>
      <c r="L29" s="6" t="n">
        <f aca="false">I29-F29</f>
        <v>3230337</v>
      </c>
      <c r="M29" s="7" t="n">
        <f aca="false">IFERROR((I29-F29)/F29,"")</f>
        <v>0.0157685186690279</v>
      </c>
      <c r="N29" s="6" t="n">
        <f aca="false">J29-G29</f>
        <v>0</v>
      </c>
      <c r="O29" s="8" t="n">
        <f aca="false">IFERROR((J29-G29)/G29,"")</f>
        <v>0</v>
      </c>
      <c r="P29" s="6" t="n">
        <f aca="false">K29-H29</f>
        <v>3966100</v>
      </c>
    </row>
    <row r="30" customFormat="false" ht="15" hidden="false" customHeight="false" outlineLevel="0" collapsed="false">
      <c r="A30" s="9" t="n">
        <v>26</v>
      </c>
      <c r="B30" s="9" t="s">
        <v>72</v>
      </c>
      <c r="C30" s="9" t="s">
        <v>73</v>
      </c>
      <c r="D30" s="9" t="s">
        <v>73</v>
      </c>
      <c r="E30" s="9" t="s">
        <v>23</v>
      </c>
      <c r="F30" s="10" t="n">
        <v>200417306</v>
      </c>
      <c r="G30" s="10" t="n">
        <v>15358980543</v>
      </c>
      <c r="H30" s="10" t="n">
        <v>16138256</v>
      </c>
      <c r="I30" s="10" t="n">
        <v>206630401</v>
      </c>
      <c r="J30" s="10" t="n">
        <v>15358980543</v>
      </c>
      <c r="K30" s="10" t="n">
        <v>20878976</v>
      </c>
      <c r="L30" s="11" t="n">
        <f aca="false">I30-F30</f>
        <v>6213095</v>
      </c>
      <c r="M30" s="12" t="n">
        <f aca="false">IFERROR((I30-F30)/F30,"")</f>
        <v>0.0310007909197223</v>
      </c>
      <c r="N30" s="11" t="n">
        <f aca="false">J30-G30</f>
        <v>0</v>
      </c>
      <c r="O30" s="13" t="n">
        <f aca="false">IFERROR((J30-G30)/G30,"")</f>
        <v>0</v>
      </c>
      <c r="P30" s="11" t="n">
        <f aca="false">K30-H30</f>
        <v>4740720</v>
      </c>
    </row>
    <row r="31" customFormat="false" ht="15" hidden="false" customHeight="false" outlineLevel="0" collapsed="false">
      <c r="A31" s="4" t="n">
        <v>27</v>
      </c>
      <c r="B31" s="4" t="s">
        <v>74</v>
      </c>
      <c r="C31" s="4" t="s">
        <v>75</v>
      </c>
      <c r="D31" s="4" t="s">
        <v>75</v>
      </c>
      <c r="E31" s="4" t="s">
        <v>23</v>
      </c>
      <c r="F31" s="5" t="n">
        <v>201325851</v>
      </c>
      <c r="G31" s="5" t="n">
        <v>5879198480</v>
      </c>
      <c r="H31" s="5" t="n">
        <v>192700</v>
      </c>
      <c r="I31" s="5" t="n">
        <v>206599675</v>
      </c>
      <c r="J31" s="5" t="n">
        <v>5879198480</v>
      </c>
      <c r="K31" s="5" t="n">
        <v>4767930</v>
      </c>
      <c r="L31" s="6" t="n">
        <f aca="false">I31-F31</f>
        <v>5273824</v>
      </c>
      <c r="M31" s="7" t="n">
        <f aca="false">IFERROR((I31-F31)/F31,"")</f>
        <v>0.0261954635920054</v>
      </c>
      <c r="N31" s="6" t="n">
        <f aca="false">J31-G31</f>
        <v>0</v>
      </c>
      <c r="O31" s="8" t="n">
        <f aca="false">IFERROR((J31-G31)/G31,"")</f>
        <v>0</v>
      </c>
      <c r="P31" s="6" t="n">
        <f aca="false">K31-H31</f>
        <v>4575230</v>
      </c>
    </row>
    <row r="32" customFormat="false" ht="15" hidden="false" customHeight="false" outlineLevel="0" collapsed="false">
      <c r="A32" s="9" t="n">
        <v>28</v>
      </c>
      <c r="B32" s="9" t="s">
        <v>76</v>
      </c>
      <c r="C32" s="9" t="s">
        <v>77</v>
      </c>
      <c r="D32" s="9" t="s">
        <v>77</v>
      </c>
      <c r="E32" s="9" t="s">
        <v>23</v>
      </c>
      <c r="F32" s="10" t="n">
        <v>201091349</v>
      </c>
      <c r="G32" s="10" t="n">
        <v>6075652523</v>
      </c>
      <c r="H32" s="10" t="n">
        <v>4484875</v>
      </c>
      <c r="I32" s="10" t="n">
        <v>206192781</v>
      </c>
      <c r="J32" s="10" t="n">
        <v>6075652523</v>
      </c>
      <c r="K32" s="10" t="n">
        <v>9058775</v>
      </c>
      <c r="L32" s="11" t="n">
        <f aca="false">I32-F32</f>
        <v>5101432</v>
      </c>
      <c r="M32" s="12" t="n">
        <f aca="false">IFERROR((I32-F32)/F32,"")</f>
        <v>0.025368729313164</v>
      </c>
      <c r="N32" s="11" t="n">
        <f aca="false">J32-G32</f>
        <v>0</v>
      </c>
      <c r="O32" s="13" t="n">
        <f aca="false">IFERROR((J32-G32)/G32,"")</f>
        <v>0</v>
      </c>
      <c r="P32" s="11" t="n">
        <f aca="false">K32-H32</f>
        <v>4573900</v>
      </c>
    </row>
    <row r="33" customFormat="false" ht="15" hidden="false" customHeight="false" outlineLevel="0" collapsed="false">
      <c r="A33" s="4" t="n">
        <v>29</v>
      </c>
      <c r="B33" s="4" t="s">
        <v>78</v>
      </c>
      <c r="C33" s="4" t="s">
        <v>79</v>
      </c>
      <c r="D33" s="4" t="s">
        <v>79</v>
      </c>
      <c r="E33" s="4" t="s">
        <v>23</v>
      </c>
      <c r="F33" s="5" t="n">
        <v>204239711</v>
      </c>
      <c r="G33" s="5" t="n">
        <v>11202677902</v>
      </c>
      <c r="H33" s="5" t="n">
        <v>5567680</v>
      </c>
      <c r="I33" s="5" t="n">
        <v>205036088</v>
      </c>
      <c r="J33" s="5" t="n">
        <v>11202677902</v>
      </c>
      <c r="K33" s="5" t="n">
        <v>10064078</v>
      </c>
      <c r="L33" s="6" t="n">
        <f aca="false">I33-F33</f>
        <v>796377</v>
      </c>
      <c r="M33" s="7" t="n">
        <f aca="false">IFERROR((I33-F33)/F33,"")</f>
        <v>0.00389922702152668</v>
      </c>
      <c r="N33" s="6" t="n">
        <f aca="false">J33-G33</f>
        <v>0</v>
      </c>
      <c r="O33" s="8" t="n">
        <f aca="false">IFERROR((J33-G33)/G33,"")</f>
        <v>0</v>
      </c>
      <c r="P33" s="6" t="n">
        <f aca="false">K33-H33</f>
        <v>4496398</v>
      </c>
    </row>
    <row r="34" customFormat="false" ht="15" hidden="false" customHeight="false" outlineLevel="0" collapsed="false">
      <c r="A34" s="9" t="n">
        <v>30</v>
      </c>
      <c r="B34" s="9" t="s">
        <v>80</v>
      </c>
      <c r="C34" s="9" t="s">
        <v>81</v>
      </c>
      <c r="D34" s="9" t="s">
        <v>81</v>
      </c>
      <c r="E34" s="9" t="s">
        <v>23</v>
      </c>
      <c r="F34" s="10" t="n">
        <v>192208975</v>
      </c>
      <c r="G34" s="10" t="n">
        <v>5096274360</v>
      </c>
      <c r="H34" s="10" t="n">
        <v>22865940</v>
      </c>
      <c r="I34" s="10" t="n">
        <v>203163642</v>
      </c>
      <c r="J34" s="10" t="n">
        <v>5096274360</v>
      </c>
      <c r="K34" s="10" t="n">
        <v>27582440</v>
      </c>
      <c r="L34" s="11" t="n">
        <f aca="false">I34-F34</f>
        <v>10954667</v>
      </c>
      <c r="M34" s="12" t="n">
        <f aca="false">IFERROR((I34-F34)/F34,"")</f>
        <v>0.0569935248861298</v>
      </c>
      <c r="N34" s="11" t="n">
        <f aca="false">J34-G34</f>
        <v>0</v>
      </c>
      <c r="O34" s="13" t="n">
        <f aca="false">IFERROR((J34-G34)/G34,"")</f>
        <v>0</v>
      </c>
      <c r="P34" s="11" t="n">
        <f aca="false">K34-H34</f>
        <v>4716500</v>
      </c>
    </row>
    <row r="35" customFormat="false" ht="15" hidden="false" customHeight="false" outlineLevel="0" collapsed="false">
      <c r="A35" s="4" t="n">
        <v>31</v>
      </c>
      <c r="B35" s="4" t="s">
        <v>82</v>
      </c>
      <c r="C35" s="4" t="s">
        <v>83</v>
      </c>
      <c r="D35" s="4" t="s">
        <v>83</v>
      </c>
      <c r="E35" s="4" t="s">
        <v>23</v>
      </c>
      <c r="F35" s="5" t="n">
        <v>198793711</v>
      </c>
      <c r="G35" s="5" t="n">
        <v>3453826592</v>
      </c>
      <c r="H35" s="5" t="n">
        <v>15695580</v>
      </c>
      <c r="I35" s="5" t="n">
        <v>202342224</v>
      </c>
      <c r="J35" s="5" t="n">
        <v>3453826592</v>
      </c>
      <c r="K35" s="5" t="n">
        <v>20162529</v>
      </c>
      <c r="L35" s="6" t="n">
        <f aca="false">I35-F35</f>
        <v>3548513</v>
      </c>
      <c r="M35" s="7" t="n">
        <f aca="false">IFERROR((I35-F35)/F35,"")</f>
        <v>0.0178502276664074</v>
      </c>
      <c r="N35" s="6" t="n">
        <f aca="false">J35-G35</f>
        <v>0</v>
      </c>
      <c r="O35" s="8" t="n">
        <f aca="false">IFERROR((J35-G35)/G35,"")</f>
        <v>0</v>
      </c>
      <c r="P35" s="6" t="n">
        <f aca="false">K35-H35</f>
        <v>4466949</v>
      </c>
    </row>
    <row r="36" customFormat="false" ht="15" hidden="false" customHeight="false" outlineLevel="0" collapsed="false">
      <c r="A36" s="9" t="n">
        <v>32</v>
      </c>
      <c r="B36" s="9" t="s">
        <v>84</v>
      </c>
      <c r="C36" s="9" t="s">
        <v>85</v>
      </c>
      <c r="D36" s="9" t="s">
        <v>85</v>
      </c>
      <c r="E36" s="9" t="s">
        <v>23</v>
      </c>
      <c r="F36" s="10" t="n">
        <v>195029424</v>
      </c>
      <c r="G36" s="10" t="n">
        <v>3505326692</v>
      </c>
      <c r="H36" s="10" t="n">
        <v>13729302</v>
      </c>
      <c r="I36" s="10" t="n">
        <v>201999593</v>
      </c>
      <c r="J36" s="10" t="n">
        <v>3505326692</v>
      </c>
      <c r="K36" s="10" t="n">
        <v>18078902</v>
      </c>
      <c r="L36" s="11" t="n">
        <f aca="false">I36-F36</f>
        <v>6970169</v>
      </c>
      <c r="M36" s="12" t="n">
        <f aca="false">IFERROR((I36-F36)/F36,"")</f>
        <v>0.0357390636604659</v>
      </c>
      <c r="N36" s="11" t="n">
        <f aca="false">J36-G36</f>
        <v>0</v>
      </c>
      <c r="O36" s="13" t="n">
        <f aca="false">IFERROR((J36-G36)/G36,"")</f>
        <v>0</v>
      </c>
      <c r="P36" s="11" t="n">
        <f aca="false">K36-H36</f>
        <v>4349600</v>
      </c>
    </row>
    <row r="37" customFormat="false" ht="15" hidden="false" customHeight="false" outlineLevel="0" collapsed="false">
      <c r="A37" s="4" t="n">
        <v>33</v>
      </c>
      <c r="B37" s="4" t="s">
        <v>86</v>
      </c>
      <c r="C37" s="4" t="s">
        <v>87</v>
      </c>
      <c r="D37" s="4" t="s">
        <v>87</v>
      </c>
      <c r="E37" s="4" t="s">
        <v>23</v>
      </c>
      <c r="F37" s="5" t="n">
        <v>199641263</v>
      </c>
      <c r="G37" s="5" t="n">
        <v>16726285449</v>
      </c>
      <c r="H37" s="5" t="n">
        <v>177900</v>
      </c>
      <c r="I37" s="5" t="n">
        <v>200248414</v>
      </c>
      <c r="J37" s="5" t="n">
        <v>16726285449</v>
      </c>
      <c r="K37" s="5" t="n">
        <v>4938100</v>
      </c>
      <c r="L37" s="6" t="n">
        <f aca="false">I37-F37</f>
        <v>607151</v>
      </c>
      <c r="M37" s="7" t="n">
        <f aca="false">IFERROR((I37-F37)/F37,"")</f>
        <v>0.0030412099727099</v>
      </c>
      <c r="N37" s="6" t="n">
        <f aca="false">J37-G37</f>
        <v>0</v>
      </c>
      <c r="O37" s="8" t="n">
        <f aca="false">IFERROR((J37-G37)/G37,"")</f>
        <v>0</v>
      </c>
      <c r="P37" s="6" t="n">
        <f aca="false">K37-H37</f>
        <v>4760200</v>
      </c>
    </row>
    <row r="38" customFormat="false" ht="15" hidden="false" customHeight="false" outlineLevel="0" collapsed="false">
      <c r="A38" s="9" t="n">
        <v>34</v>
      </c>
      <c r="B38" s="9" t="s">
        <v>88</v>
      </c>
      <c r="C38" s="9" t="s">
        <v>89</v>
      </c>
      <c r="D38" s="9" t="s">
        <v>89</v>
      </c>
      <c r="E38" s="9" t="s">
        <v>23</v>
      </c>
      <c r="F38" s="10" t="n">
        <v>196528433</v>
      </c>
      <c r="G38" s="10" t="n">
        <v>22142916287</v>
      </c>
      <c r="H38" s="10" t="n">
        <v>344600</v>
      </c>
      <c r="I38" s="10" t="n">
        <v>199661351</v>
      </c>
      <c r="J38" s="10" t="n">
        <v>22142916287</v>
      </c>
      <c r="K38" s="10" t="n">
        <v>130000</v>
      </c>
      <c r="L38" s="11" t="n">
        <f aca="false">I38-F38</f>
        <v>3132918</v>
      </c>
      <c r="M38" s="12" t="n">
        <f aca="false">IFERROR((I38-F38)/F38,"")</f>
        <v>0.0159412963924665</v>
      </c>
      <c r="N38" s="11" t="n">
        <f aca="false">J38-G38</f>
        <v>0</v>
      </c>
      <c r="O38" s="13" t="n">
        <f aca="false">IFERROR((J38-G38)/G38,"")</f>
        <v>0</v>
      </c>
      <c r="P38" s="14" t="n">
        <f aca="false">K38-H38</f>
        <v>-214600</v>
      </c>
    </row>
    <row r="39" customFormat="false" ht="15" hidden="false" customHeight="false" outlineLevel="0" collapsed="false">
      <c r="A39" s="4" t="n">
        <v>35</v>
      </c>
      <c r="B39" s="4" t="s">
        <v>90</v>
      </c>
      <c r="C39" s="4" t="s">
        <v>91</v>
      </c>
      <c r="D39" s="4" t="s">
        <v>91</v>
      </c>
      <c r="E39" s="4" t="s">
        <v>23</v>
      </c>
      <c r="F39" s="5" t="n">
        <v>186899171</v>
      </c>
      <c r="G39" s="5" t="n">
        <v>7530972114</v>
      </c>
      <c r="H39" s="5" t="n">
        <v>1898478</v>
      </c>
      <c r="I39" s="5" t="n">
        <v>199640503</v>
      </c>
      <c r="J39" s="5" t="n">
        <v>7530972114</v>
      </c>
      <c r="K39" s="5" t="n">
        <v>6371926</v>
      </c>
      <c r="L39" s="6" t="n">
        <f aca="false">I39-F39</f>
        <v>12741332</v>
      </c>
      <c r="M39" s="7" t="n">
        <f aca="false">IFERROR((I39-F39)/F39,"")</f>
        <v>0.0681722231930071</v>
      </c>
      <c r="N39" s="6" t="n">
        <f aca="false">J39-G39</f>
        <v>0</v>
      </c>
      <c r="O39" s="8" t="n">
        <f aca="false">IFERROR((J39-G39)/G39,"")</f>
        <v>0</v>
      </c>
      <c r="P39" s="6" t="n">
        <f aca="false">K39-H39</f>
        <v>4473448</v>
      </c>
    </row>
    <row r="40" customFormat="false" ht="15" hidden="false" customHeight="false" outlineLevel="0" collapsed="false">
      <c r="A40" s="9" t="n">
        <v>36</v>
      </c>
      <c r="B40" s="9" t="s">
        <v>92</v>
      </c>
      <c r="C40" s="9" t="s">
        <v>93</v>
      </c>
      <c r="D40" s="9" t="s">
        <v>93</v>
      </c>
      <c r="E40" s="9" t="s">
        <v>23</v>
      </c>
      <c r="F40" s="10" t="n">
        <v>188120006</v>
      </c>
      <c r="G40" s="10" t="n">
        <v>6061766603</v>
      </c>
      <c r="H40" s="10" t="n">
        <v>12263764</v>
      </c>
      <c r="I40" s="10" t="n">
        <v>195209489</v>
      </c>
      <c r="J40" s="10" t="n">
        <v>6061766603</v>
      </c>
      <c r="K40" s="10" t="n">
        <v>17007774</v>
      </c>
      <c r="L40" s="11" t="n">
        <f aca="false">I40-F40</f>
        <v>7089483</v>
      </c>
      <c r="M40" s="12" t="n">
        <f aca="false">IFERROR((I40-F40)/F40,"")</f>
        <v>0.0376859598866906</v>
      </c>
      <c r="N40" s="11" t="n">
        <f aca="false">J40-G40</f>
        <v>0</v>
      </c>
      <c r="O40" s="13" t="n">
        <f aca="false">IFERROR((J40-G40)/G40,"")</f>
        <v>0</v>
      </c>
      <c r="P40" s="11" t="n">
        <f aca="false">K40-H40</f>
        <v>4744010</v>
      </c>
    </row>
    <row r="41" customFormat="false" ht="15" hidden="false" customHeight="false" outlineLevel="0" collapsed="false">
      <c r="A41" s="4" t="n">
        <v>37</v>
      </c>
      <c r="B41" s="4" t="s">
        <v>94</v>
      </c>
      <c r="C41" s="4" t="s">
        <v>95</v>
      </c>
      <c r="D41" s="4" t="s">
        <v>95</v>
      </c>
      <c r="E41" s="4" t="s">
        <v>23</v>
      </c>
      <c r="F41" s="5" t="n">
        <v>187160914</v>
      </c>
      <c r="G41" s="5" t="n">
        <v>2182189240</v>
      </c>
      <c r="H41" s="5" t="n">
        <v>343700</v>
      </c>
      <c r="I41" s="5" t="n">
        <v>194811320</v>
      </c>
      <c r="J41" s="5" t="n">
        <v>2182189240</v>
      </c>
      <c r="K41" s="5" t="n">
        <v>5021600</v>
      </c>
      <c r="L41" s="6" t="n">
        <f aca="false">I41-F41</f>
        <v>7650406</v>
      </c>
      <c r="M41" s="7" t="n">
        <f aca="false">IFERROR((I41-F41)/F41,"")</f>
        <v>0.040876088049025</v>
      </c>
      <c r="N41" s="6" t="n">
        <f aca="false">J41-G41</f>
        <v>0</v>
      </c>
      <c r="O41" s="8" t="n">
        <f aca="false">IFERROR((J41-G41)/G41,"")</f>
        <v>0</v>
      </c>
      <c r="P41" s="6" t="n">
        <f aca="false">K41-H41</f>
        <v>4677900</v>
      </c>
    </row>
    <row r="42" customFormat="false" ht="15" hidden="false" customHeight="false" outlineLevel="0" collapsed="false">
      <c r="A42" s="9" t="n">
        <v>38</v>
      </c>
      <c r="B42" s="9" t="s">
        <v>96</v>
      </c>
      <c r="C42" s="9" t="s">
        <v>97</v>
      </c>
      <c r="D42" s="9" t="s">
        <v>97</v>
      </c>
      <c r="E42" s="9" t="s">
        <v>23</v>
      </c>
      <c r="F42" s="10" t="n">
        <v>188124754</v>
      </c>
      <c r="G42" s="10" t="n">
        <v>5865860188</v>
      </c>
      <c r="H42" s="10" t="n">
        <v>25177262</v>
      </c>
      <c r="I42" s="10" t="n">
        <v>194463558</v>
      </c>
      <c r="J42" s="10" t="n">
        <v>5865860188</v>
      </c>
      <c r="K42" s="10" t="n">
        <v>29843062</v>
      </c>
      <c r="L42" s="11" t="n">
        <f aca="false">I42-F42</f>
        <v>6338804</v>
      </c>
      <c r="M42" s="12" t="n">
        <f aca="false">IFERROR((I42-F42)/F42,"")</f>
        <v>0.0336946832632137</v>
      </c>
      <c r="N42" s="11" t="n">
        <f aca="false">J42-G42</f>
        <v>0</v>
      </c>
      <c r="O42" s="13" t="n">
        <f aca="false">IFERROR((J42-G42)/G42,"")</f>
        <v>0</v>
      </c>
      <c r="P42" s="11" t="n">
        <f aca="false">K42-H42</f>
        <v>4665800</v>
      </c>
    </row>
    <row r="43" customFormat="false" ht="15" hidden="false" customHeight="false" outlineLevel="0" collapsed="false">
      <c r="A43" s="4" t="n">
        <v>39</v>
      </c>
      <c r="B43" s="4" t="s">
        <v>98</v>
      </c>
      <c r="C43" s="4" t="s">
        <v>99</v>
      </c>
      <c r="D43" s="4" t="s">
        <v>99</v>
      </c>
      <c r="E43" s="4" t="s">
        <v>23</v>
      </c>
      <c r="F43" s="5" t="n">
        <v>190652001</v>
      </c>
      <c r="G43" s="5" t="n">
        <v>3213439112</v>
      </c>
      <c r="H43" s="5" t="n">
        <v>176200</v>
      </c>
      <c r="I43" s="5" t="n">
        <v>192656245</v>
      </c>
      <c r="J43" s="5" t="n">
        <v>3213439112</v>
      </c>
      <c r="K43" s="5" t="n">
        <v>4802300</v>
      </c>
      <c r="L43" s="6" t="n">
        <f aca="false">I43-F43</f>
        <v>2004244</v>
      </c>
      <c r="M43" s="7" t="n">
        <f aca="false">IFERROR((I43-F43)/F43,"")</f>
        <v>0.0105125778354668</v>
      </c>
      <c r="N43" s="6" t="n">
        <f aca="false">J43-G43</f>
        <v>0</v>
      </c>
      <c r="O43" s="8" t="n">
        <f aca="false">IFERROR((J43-G43)/G43,"")</f>
        <v>0</v>
      </c>
      <c r="P43" s="6" t="n">
        <f aca="false">K43-H43</f>
        <v>4626100</v>
      </c>
    </row>
    <row r="44" customFormat="false" ht="15" hidden="false" customHeight="false" outlineLevel="0" collapsed="false">
      <c r="A44" s="9" t="n">
        <v>40</v>
      </c>
      <c r="B44" s="9" t="s">
        <v>100</v>
      </c>
      <c r="C44" s="9" t="s">
        <v>101</v>
      </c>
      <c r="D44" s="9" t="s">
        <v>101</v>
      </c>
      <c r="E44" s="9" t="s">
        <v>23</v>
      </c>
      <c r="F44" s="10" t="n">
        <v>191408567</v>
      </c>
      <c r="G44" s="10" t="n">
        <v>12890173281</v>
      </c>
      <c r="H44" s="10" t="n">
        <v>97200</v>
      </c>
      <c r="I44" s="10" t="n">
        <v>192541926</v>
      </c>
      <c r="J44" s="10" t="n">
        <v>12890173281</v>
      </c>
      <c r="K44" s="10" t="n">
        <v>4217100</v>
      </c>
      <c r="L44" s="11" t="n">
        <f aca="false">I44-F44</f>
        <v>1133359</v>
      </c>
      <c r="M44" s="12" t="n">
        <f aca="false">IFERROR((I44-F44)/F44,"")</f>
        <v>0.00592115085423528</v>
      </c>
      <c r="N44" s="11" t="n">
        <f aca="false">J44-G44</f>
        <v>0</v>
      </c>
      <c r="O44" s="13" t="n">
        <f aca="false">IFERROR((J44-G44)/G44,"")</f>
        <v>0</v>
      </c>
      <c r="P44" s="11" t="n">
        <f aca="false">K44-H44</f>
        <v>4119900</v>
      </c>
    </row>
    <row r="45" customFormat="false" ht="15" hidden="false" customHeight="false" outlineLevel="0" collapsed="false">
      <c r="A45" s="4" t="n">
        <v>41</v>
      </c>
      <c r="B45" s="4" t="s">
        <v>102</v>
      </c>
      <c r="C45" s="4" t="s">
        <v>103</v>
      </c>
      <c r="D45" s="4" t="s">
        <v>103</v>
      </c>
      <c r="E45" s="4" t="s">
        <v>23</v>
      </c>
      <c r="F45" s="5" t="n">
        <v>182801860</v>
      </c>
      <c r="G45" s="5" t="n">
        <v>3959355405</v>
      </c>
      <c r="H45" s="5" t="n">
        <v>189800</v>
      </c>
      <c r="I45" s="5" t="n">
        <v>191173796</v>
      </c>
      <c r="J45" s="5" t="n">
        <v>3959355405</v>
      </c>
      <c r="K45" s="5" t="n">
        <v>4858191</v>
      </c>
      <c r="L45" s="6" t="n">
        <f aca="false">I45-F45</f>
        <v>8371936</v>
      </c>
      <c r="M45" s="7" t="n">
        <f aca="false">IFERROR((I45-F45)/F45,"")</f>
        <v>0.0457978709844637</v>
      </c>
      <c r="N45" s="6" t="n">
        <f aca="false">J45-G45</f>
        <v>0</v>
      </c>
      <c r="O45" s="8" t="n">
        <f aca="false">IFERROR((J45-G45)/G45,"")</f>
        <v>0</v>
      </c>
      <c r="P45" s="6" t="n">
        <f aca="false">K45-H45</f>
        <v>4668391</v>
      </c>
    </row>
    <row r="46" customFormat="false" ht="15" hidden="false" customHeight="false" outlineLevel="0" collapsed="false">
      <c r="A46" s="9" t="n">
        <v>42</v>
      </c>
      <c r="B46" s="9" t="s">
        <v>104</v>
      </c>
      <c r="C46" s="9" t="s">
        <v>105</v>
      </c>
      <c r="D46" s="9" t="s">
        <v>105</v>
      </c>
      <c r="E46" s="9" t="s">
        <v>23</v>
      </c>
      <c r="F46" s="10" t="n">
        <v>188997140</v>
      </c>
      <c r="G46" s="10" t="n">
        <v>4196370939</v>
      </c>
      <c r="H46" s="10" t="n">
        <v>5553241</v>
      </c>
      <c r="I46" s="10" t="n">
        <v>190355698</v>
      </c>
      <c r="J46" s="10" t="n">
        <v>4196370939</v>
      </c>
      <c r="K46" s="10" t="n">
        <v>10177596</v>
      </c>
      <c r="L46" s="11" t="n">
        <f aca="false">I46-F46</f>
        <v>1358558</v>
      </c>
      <c r="M46" s="12" t="n">
        <f aca="false">IFERROR((I46-F46)/F46,"")</f>
        <v>0.00718824634065891</v>
      </c>
      <c r="N46" s="11" t="n">
        <f aca="false">J46-G46</f>
        <v>0</v>
      </c>
      <c r="O46" s="13" t="n">
        <f aca="false">IFERROR((J46-G46)/G46,"")</f>
        <v>0</v>
      </c>
      <c r="P46" s="11" t="n">
        <f aca="false">K46-H46</f>
        <v>4624355</v>
      </c>
    </row>
    <row r="47" customFormat="false" ht="15" hidden="false" customHeight="false" outlineLevel="0" collapsed="false">
      <c r="A47" s="4" t="n">
        <v>43</v>
      </c>
      <c r="B47" s="4" t="s">
        <v>106</v>
      </c>
      <c r="C47" s="4" t="s">
        <v>107</v>
      </c>
      <c r="D47" s="4" t="s">
        <v>107</v>
      </c>
      <c r="E47" s="4" t="s">
        <v>23</v>
      </c>
      <c r="F47" s="5" t="n">
        <v>180280278</v>
      </c>
      <c r="G47" s="5" t="n">
        <v>3506527953</v>
      </c>
      <c r="H47" s="5" t="n">
        <v>157500</v>
      </c>
      <c r="I47" s="5" t="n">
        <v>190156553</v>
      </c>
      <c r="J47" s="5" t="n">
        <v>3506527953</v>
      </c>
      <c r="K47" s="5" t="n">
        <v>4792100</v>
      </c>
      <c r="L47" s="6" t="n">
        <f aca="false">I47-F47</f>
        <v>9876275</v>
      </c>
      <c r="M47" s="7" t="n">
        <f aca="false">IFERROR((I47-F47)/F47,"")</f>
        <v>0.0547828920033061</v>
      </c>
      <c r="N47" s="6" t="n">
        <f aca="false">J47-G47</f>
        <v>0</v>
      </c>
      <c r="O47" s="8" t="n">
        <f aca="false">IFERROR((J47-G47)/G47,"")</f>
        <v>0</v>
      </c>
      <c r="P47" s="6" t="n">
        <f aca="false">K47-H47</f>
        <v>4634600</v>
      </c>
    </row>
    <row r="48" customFormat="false" ht="15" hidden="false" customHeight="false" outlineLevel="0" collapsed="false">
      <c r="A48" s="9" t="n">
        <v>44</v>
      </c>
      <c r="B48" s="9" t="s">
        <v>108</v>
      </c>
      <c r="C48" s="9" t="s">
        <v>109</v>
      </c>
      <c r="D48" s="9" t="s">
        <v>109</v>
      </c>
      <c r="E48" s="9" t="s">
        <v>23</v>
      </c>
      <c r="F48" s="10" t="n">
        <v>179078741</v>
      </c>
      <c r="G48" s="10" t="n">
        <v>8636803116</v>
      </c>
      <c r="H48" s="10" t="n">
        <v>430900</v>
      </c>
      <c r="I48" s="10" t="n">
        <v>189057405</v>
      </c>
      <c r="J48" s="10" t="n">
        <v>8636803116</v>
      </c>
      <c r="K48" s="10" t="n">
        <v>4989314</v>
      </c>
      <c r="L48" s="11" t="n">
        <f aca="false">I48-F48</f>
        <v>9978664</v>
      </c>
      <c r="M48" s="12" t="n">
        <f aca="false">IFERROR((I48-F48)/F48,"")</f>
        <v>0.0557222143972969</v>
      </c>
      <c r="N48" s="11" t="n">
        <f aca="false">J48-G48</f>
        <v>0</v>
      </c>
      <c r="O48" s="13" t="n">
        <f aca="false">IFERROR((J48-G48)/G48,"")</f>
        <v>0</v>
      </c>
      <c r="P48" s="11" t="n">
        <f aca="false">K48-H48</f>
        <v>4558414</v>
      </c>
    </row>
    <row r="49" customFormat="false" ht="15" hidden="false" customHeight="false" outlineLevel="0" collapsed="false">
      <c r="A49" s="4" t="n">
        <v>45</v>
      </c>
      <c r="B49" s="4" t="s">
        <v>110</v>
      </c>
      <c r="C49" s="4" t="s">
        <v>111</v>
      </c>
      <c r="D49" s="4" t="s">
        <v>111</v>
      </c>
      <c r="E49" s="4" t="s">
        <v>23</v>
      </c>
      <c r="F49" s="5" t="n">
        <v>176153382</v>
      </c>
      <c r="G49" s="5" t="n">
        <v>6087702102</v>
      </c>
      <c r="H49" s="5" t="n">
        <v>7000</v>
      </c>
      <c r="I49" s="5" t="n">
        <v>188052263</v>
      </c>
      <c r="J49" s="5" t="n">
        <v>6087702654</v>
      </c>
      <c r="K49" s="5" t="n">
        <v>570800</v>
      </c>
      <c r="L49" s="6" t="n">
        <f aca="false">I49-F49</f>
        <v>11898881</v>
      </c>
      <c r="M49" s="7" t="n">
        <f aca="false">IFERROR((I49-F49)/F49,"")</f>
        <v>0.0675484107367294</v>
      </c>
      <c r="N49" s="6" t="n">
        <f aca="false">J49-G49</f>
        <v>552</v>
      </c>
      <c r="O49" s="8" t="n">
        <f aca="false">IFERROR((J49-G49)/G49,"")</f>
        <v>9.06746077175246E-008</v>
      </c>
      <c r="P49" s="6" t="n">
        <f aca="false">K49-H49</f>
        <v>563800</v>
      </c>
    </row>
    <row r="50" customFormat="false" ht="15" hidden="false" customHeight="false" outlineLevel="0" collapsed="false">
      <c r="A50" s="9" t="n">
        <v>46</v>
      </c>
      <c r="B50" s="9" t="s">
        <v>112</v>
      </c>
      <c r="C50" s="9" t="s">
        <v>113</v>
      </c>
      <c r="D50" s="9" t="s">
        <v>113</v>
      </c>
      <c r="E50" s="9" t="s">
        <v>23</v>
      </c>
      <c r="F50" s="10" t="n">
        <v>167442767</v>
      </c>
      <c r="G50" s="10" t="n">
        <v>10391588499</v>
      </c>
      <c r="H50" s="10" t="n">
        <v>407758</v>
      </c>
      <c r="I50" s="10" t="n">
        <v>187917918</v>
      </c>
      <c r="J50" s="10" t="n">
        <v>10391588499</v>
      </c>
      <c r="K50" s="10" t="n">
        <v>5137221</v>
      </c>
      <c r="L50" s="11" t="n">
        <f aca="false">I50-F50</f>
        <v>20475151</v>
      </c>
      <c r="M50" s="12" t="n">
        <f aca="false">IFERROR((I50-F50)/F50,"")</f>
        <v>0.122281489770173</v>
      </c>
      <c r="N50" s="11" t="n">
        <f aca="false">J50-G50</f>
        <v>0</v>
      </c>
      <c r="O50" s="13" t="n">
        <f aca="false">IFERROR((J50-G50)/G50,"")</f>
        <v>0</v>
      </c>
      <c r="P50" s="11" t="n">
        <f aca="false">K50-H50</f>
        <v>4729463</v>
      </c>
    </row>
    <row r="51" customFormat="false" ht="15" hidden="false" customHeight="false" outlineLevel="0" collapsed="false">
      <c r="A51" s="4" t="n">
        <v>47</v>
      </c>
      <c r="B51" s="4" t="s">
        <v>114</v>
      </c>
      <c r="C51" s="4" t="s">
        <v>115</v>
      </c>
      <c r="D51" s="4" t="s">
        <v>115</v>
      </c>
      <c r="E51" s="4" t="s">
        <v>23</v>
      </c>
      <c r="F51" s="5" t="n">
        <v>179449367</v>
      </c>
      <c r="G51" s="5" t="n">
        <v>5409035466</v>
      </c>
      <c r="H51" s="5" t="n">
        <v>5341743</v>
      </c>
      <c r="I51" s="5" t="n">
        <v>186419619</v>
      </c>
      <c r="J51" s="5" t="n">
        <v>5409035466</v>
      </c>
      <c r="K51" s="5" t="n">
        <v>9817166</v>
      </c>
      <c r="L51" s="6" t="n">
        <f aca="false">I51-F51</f>
        <v>6970252</v>
      </c>
      <c r="M51" s="7" t="n">
        <f aca="false">IFERROR((I51-F51)/F51,"")</f>
        <v>0.0388424440639013</v>
      </c>
      <c r="N51" s="6" t="n">
        <f aca="false">J51-G51</f>
        <v>0</v>
      </c>
      <c r="O51" s="8" t="n">
        <f aca="false">IFERROR((J51-G51)/G51,"")</f>
        <v>0</v>
      </c>
      <c r="P51" s="6" t="n">
        <f aca="false">K51-H51</f>
        <v>4475423</v>
      </c>
    </row>
    <row r="52" customFormat="false" ht="15" hidden="false" customHeight="false" outlineLevel="0" collapsed="false">
      <c r="A52" s="9" t="n">
        <v>48</v>
      </c>
      <c r="B52" s="9" t="s">
        <v>116</v>
      </c>
      <c r="C52" s="9" t="s">
        <v>117</v>
      </c>
      <c r="D52" s="9" t="s">
        <v>117</v>
      </c>
      <c r="E52" s="9" t="s">
        <v>23</v>
      </c>
      <c r="F52" s="10" t="n">
        <v>180200936</v>
      </c>
      <c r="G52" s="10" t="n">
        <v>5027236175</v>
      </c>
      <c r="H52" s="10" t="n">
        <v>10545804</v>
      </c>
      <c r="I52" s="10" t="n">
        <v>186249883</v>
      </c>
      <c r="J52" s="10" t="n">
        <v>5027236175</v>
      </c>
      <c r="K52" s="10" t="n">
        <v>15073104</v>
      </c>
      <c r="L52" s="11" t="n">
        <f aca="false">I52-F52</f>
        <v>6048947</v>
      </c>
      <c r="M52" s="12" t="n">
        <f aca="false">IFERROR((I52-F52)/F52,"")</f>
        <v>0.033567789015258</v>
      </c>
      <c r="N52" s="11" t="n">
        <f aca="false">J52-G52</f>
        <v>0</v>
      </c>
      <c r="O52" s="13" t="n">
        <f aca="false">IFERROR((J52-G52)/G52,"")</f>
        <v>0</v>
      </c>
      <c r="P52" s="11" t="n">
        <f aca="false">K52-H52</f>
        <v>4527300</v>
      </c>
    </row>
    <row r="53" customFormat="false" ht="15" hidden="false" customHeight="false" outlineLevel="0" collapsed="false">
      <c r="A53" s="4" t="n">
        <v>49</v>
      </c>
      <c r="B53" s="4" t="s">
        <v>118</v>
      </c>
      <c r="C53" s="4" t="s">
        <v>119</v>
      </c>
      <c r="D53" s="4" t="s">
        <v>119</v>
      </c>
      <c r="E53" s="4" t="s">
        <v>23</v>
      </c>
      <c r="F53" s="5" t="n">
        <v>184037565</v>
      </c>
      <c r="G53" s="5" t="n">
        <v>7351067674</v>
      </c>
      <c r="H53" s="5" t="n">
        <v>10398145</v>
      </c>
      <c r="I53" s="5" t="n">
        <v>185638496</v>
      </c>
      <c r="J53" s="5" t="n">
        <v>7351067674</v>
      </c>
      <c r="K53" s="5" t="n">
        <v>15002828</v>
      </c>
      <c r="L53" s="6" t="n">
        <f aca="false">I53-F53</f>
        <v>1600931</v>
      </c>
      <c r="M53" s="7" t="n">
        <f aca="false">IFERROR((I53-F53)/F53,"")</f>
        <v>0.00869893600254926</v>
      </c>
      <c r="N53" s="6" t="n">
        <f aca="false">J53-G53</f>
        <v>0</v>
      </c>
      <c r="O53" s="8" t="n">
        <f aca="false">IFERROR((J53-G53)/G53,"")</f>
        <v>0</v>
      </c>
      <c r="P53" s="6" t="n">
        <f aca="false">K53-H53</f>
        <v>4604683</v>
      </c>
    </row>
    <row r="54" customFormat="false" ht="15" hidden="false" customHeight="false" outlineLevel="0" collapsed="false">
      <c r="A54" s="9" t="n">
        <v>50</v>
      </c>
      <c r="B54" s="9" t="s">
        <v>120</v>
      </c>
      <c r="C54" s="9" t="s">
        <v>121</v>
      </c>
      <c r="D54" s="9" t="s">
        <v>121</v>
      </c>
      <c r="E54" s="9" t="s">
        <v>23</v>
      </c>
      <c r="F54" s="10" t="n">
        <v>184089347</v>
      </c>
      <c r="G54" s="10" t="n">
        <v>2109980176</v>
      </c>
      <c r="H54" s="10" t="n">
        <v>16400311</v>
      </c>
      <c r="I54" s="10" t="n">
        <v>185570709</v>
      </c>
      <c r="J54" s="10" t="n">
        <v>2109980176</v>
      </c>
      <c r="K54" s="10" t="n">
        <v>636784</v>
      </c>
      <c r="L54" s="11" t="n">
        <f aca="false">I54-F54</f>
        <v>1481362</v>
      </c>
      <c r="M54" s="12" t="n">
        <f aca="false">IFERROR((I54-F54)/F54,"")</f>
        <v>0.00804697297340079</v>
      </c>
      <c r="N54" s="11" t="n">
        <f aca="false">J54-G54</f>
        <v>0</v>
      </c>
      <c r="O54" s="13" t="n">
        <f aca="false">IFERROR((J54-G54)/G54,"")</f>
        <v>0</v>
      </c>
      <c r="P54" s="14" t="n">
        <f aca="false">K54-H54</f>
        <v>-15763527</v>
      </c>
    </row>
    <row r="55" customFormat="false" ht="15" hidden="false" customHeight="false" outlineLevel="0" collapsed="false">
      <c r="A55" s="4" t="n">
        <v>51</v>
      </c>
      <c r="B55" s="4" t="s">
        <v>122</v>
      </c>
      <c r="C55" s="4" t="s">
        <v>123</v>
      </c>
      <c r="D55" s="4" t="s">
        <v>123</v>
      </c>
      <c r="E55" s="4" t="s">
        <v>23</v>
      </c>
      <c r="F55" s="5" t="n">
        <v>172793975</v>
      </c>
      <c r="G55" s="5" t="n">
        <v>2655367469</v>
      </c>
      <c r="H55" s="5" t="n">
        <v>228000</v>
      </c>
      <c r="I55" s="5" t="n">
        <v>185150139</v>
      </c>
      <c r="J55" s="5" t="n">
        <v>2655367469</v>
      </c>
      <c r="K55" s="5" t="n">
        <v>4867878</v>
      </c>
      <c r="L55" s="6" t="n">
        <f aca="false">I55-F55</f>
        <v>12356164</v>
      </c>
      <c r="M55" s="7" t="n">
        <f aca="false">IFERROR((I55-F55)/F55,"")</f>
        <v>0.0715080719683658</v>
      </c>
      <c r="N55" s="6" t="n">
        <f aca="false">J55-G55</f>
        <v>0</v>
      </c>
      <c r="O55" s="8" t="n">
        <f aca="false">IFERROR((J55-G55)/G55,"")</f>
        <v>0</v>
      </c>
      <c r="P55" s="6" t="n">
        <f aca="false">K55-H55</f>
        <v>4639878</v>
      </c>
    </row>
    <row r="56" customFormat="false" ht="15" hidden="false" customHeight="false" outlineLevel="0" collapsed="false">
      <c r="A56" s="9" t="n">
        <v>52</v>
      </c>
      <c r="B56" s="9" t="s">
        <v>124</v>
      </c>
      <c r="C56" s="9" t="s">
        <v>125</v>
      </c>
      <c r="D56" s="9" t="s">
        <v>125</v>
      </c>
      <c r="E56" s="9" t="s">
        <v>23</v>
      </c>
      <c r="F56" s="10" t="n">
        <v>174255595</v>
      </c>
      <c r="G56" s="10" t="n">
        <v>3926734810</v>
      </c>
      <c r="H56" s="10" t="n">
        <v>11948974</v>
      </c>
      <c r="I56" s="10" t="n">
        <v>184229130</v>
      </c>
      <c r="J56" s="10" t="n">
        <v>3926734810</v>
      </c>
      <c r="K56" s="10" t="n">
        <v>16568262</v>
      </c>
      <c r="L56" s="11" t="n">
        <f aca="false">I56-F56</f>
        <v>9973535</v>
      </c>
      <c r="M56" s="12" t="n">
        <f aca="false">IFERROR((I56-F56)/F56,"")</f>
        <v>0.0572350919349247</v>
      </c>
      <c r="N56" s="11" t="n">
        <f aca="false">J56-G56</f>
        <v>0</v>
      </c>
      <c r="O56" s="13" t="n">
        <f aca="false">IFERROR((J56-G56)/G56,"")</f>
        <v>0</v>
      </c>
      <c r="P56" s="11" t="n">
        <f aca="false">K56-H56</f>
        <v>4619288</v>
      </c>
    </row>
    <row r="57" customFormat="false" ht="15" hidden="false" customHeight="false" outlineLevel="0" collapsed="false">
      <c r="A57" s="4" t="n">
        <v>53</v>
      </c>
      <c r="B57" s="4" t="s">
        <v>126</v>
      </c>
      <c r="C57" s="4" t="s">
        <v>127</v>
      </c>
      <c r="D57" s="4" t="s">
        <v>127</v>
      </c>
      <c r="E57" s="4" t="s">
        <v>23</v>
      </c>
      <c r="F57" s="5" t="n">
        <v>183123100</v>
      </c>
      <c r="G57" s="5" t="n">
        <v>1049469337</v>
      </c>
      <c r="H57" s="5" t="n">
        <v>152600</v>
      </c>
      <c r="I57" s="5" t="n">
        <v>182952073</v>
      </c>
      <c r="J57" s="5" t="n">
        <v>1049469337</v>
      </c>
      <c r="K57" s="5" t="n">
        <v>4188500</v>
      </c>
      <c r="L57" s="15" t="n">
        <f aca="false">I57-F57</f>
        <v>-171027</v>
      </c>
      <c r="M57" s="16" t="n">
        <f aca="false">IFERROR((I57-F57)/F57,"")</f>
        <v>-0.00093394552626075</v>
      </c>
      <c r="N57" s="6" t="n">
        <f aca="false">J57-G57</f>
        <v>0</v>
      </c>
      <c r="O57" s="8" t="n">
        <f aca="false">IFERROR((J57-G57)/G57,"")</f>
        <v>0</v>
      </c>
      <c r="P57" s="6" t="n">
        <f aca="false">K57-H57</f>
        <v>4035900</v>
      </c>
    </row>
    <row r="58" customFormat="false" ht="15" hidden="false" customHeight="false" outlineLevel="0" collapsed="false">
      <c r="A58" s="9" t="n">
        <v>54</v>
      </c>
      <c r="B58" s="9" t="s">
        <v>128</v>
      </c>
      <c r="C58" s="9" t="s">
        <v>129</v>
      </c>
      <c r="D58" s="9" t="s">
        <v>129</v>
      </c>
      <c r="E58" s="9" t="s">
        <v>23</v>
      </c>
      <c r="F58" s="10" t="n">
        <v>177536067</v>
      </c>
      <c r="G58" s="10" t="n">
        <v>3289387367</v>
      </c>
      <c r="H58" s="10" t="n">
        <v>21238653</v>
      </c>
      <c r="I58" s="10" t="n">
        <v>181252345</v>
      </c>
      <c r="J58" s="10" t="n">
        <v>3289387367</v>
      </c>
      <c r="K58" s="10" t="n">
        <v>25840350</v>
      </c>
      <c r="L58" s="11" t="n">
        <f aca="false">I58-F58</f>
        <v>3716278</v>
      </c>
      <c r="M58" s="12" t="n">
        <f aca="false">IFERROR((I58-F58)/F58,"")</f>
        <v>0.0209325240938226</v>
      </c>
      <c r="N58" s="11" t="n">
        <f aca="false">J58-G58</f>
        <v>0</v>
      </c>
      <c r="O58" s="13" t="n">
        <f aca="false">IFERROR((J58-G58)/G58,"")</f>
        <v>0</v>
      </c>
      <c r="P58" s="11" t="n">
        <f aca="false">K58-H58</f>
        <v>4601697</v>
      </c>
    </row>
    <row r="59" customFormat="false" ht="15" hidden="false" customHeight="false" outlineLevel="0" collapsed="false">
      <c r="A59" s="4" t="n">
        <v>55</v>
      </c>
      <c r="B59" s="4" t="s">
        <v>130</v>
      </c>
      <c r="C59" s="4" t="s">
        <v>131</v>
      </c>
      <c r="D59" s="4" t="s">
        <v>131</v>
      </c>
      <c r="E59" s="4" t="s">
        <v>23</v>
      </c>
      <c r="F59" s="5" t="n">
        <v>172822156</v>
      </c>
      <c r="G59" s="5" t="n">
        <v>8550649930</v>
      </c>
      <c r="H59" s="5" t="n">
        <v>14078977</v>
      </c>
      <c r="I59" s="5" t="n">
        <v>181139177</v>
      </c>
      <c r="J59" s="5" t="n">
        <v>8550649930</v>
      </c>
      <c r="K59" s="5" t="n">
        <v>18550977</v>
      </c>
      <c r="L59" s="6" t="n">
        <f aca="false">I59-F59</f>
        <v>8317021</v>
      </c>
      <c r="M59" s="7" t="n">
        <f aca="false">IFERROR((I59-F59)/F59,"")</f>
        <v>0.0481247381267481</v>
      </c>
      <c r="N59" s="6" t="n">
        <f aca="false">J59-G59</f>
        <v>0</v>
      </c>
      <c r="O59" s="8" t="n">
        <f aca="false">IFERROR((J59-G59)/G59,"")</f>
        <v>0</v>
      </c>
      <c r="P59" s="6" t="n">
        <f aca="false">K59-H59</f>
        <v>4472000</v>
      </c>
    </row>
    <row r="60" customFormat="false" ht="15" hidden="false" customHeight="false" outlineLevel="0" collapsed="false">
      <c r="A60" s="9" t="n">
        <v>56</v>
      </c>
      <c r="B60" s="9" t="s">
        <v>132</v>
      </c>
      <c r="C60" s="9" t="s">
        <v>133</v>
      </c>
      <c r="D60" s="9" t="s">
        <v>133</v>
      </c>
      <c r="E60" s="9" t="s">
        <v>23</v>
      </c>
      <c r="F60" s="10" t="n">
        <v>178292968</v>
      </c>
      <c r="G60" s="10" t="n">
        <v>4302899916</v>
      </c>
      <c r="H60" s="10" t="n">
        <v>14245379</v>
      </c>
      <c r="I60" s="10" t="n">
        <v>179743062</v>
      </c>
      <c r="J60" s="10" t="n">
        <v>4302899916</v>
      </c>
      <c r="K60" s="10" t="n">
        <v>18863778</v>
      </c>
      <c r="L60" s="11" t="n">
        <f aca="false">I60-F60</f>
        <v>1450094</v>
      </c>
      <c r="M60" s="12" t="n">
        <f aca="false">IFERROR((I60-F60)/F60,"")</f>
        <v>0.00813320915718897</v>
      </c>
      <c r="N60" s="11" t="n">
        <f aca="false">J60-G60</f>
        <v>0</v>
      </c>
      <c r="O60" s="13" t="n">
        <f aca="false">IFERROR((J60-G60)/G60,"")</f>
        <v>0</v>
      </c>
      <c r="P60" s="11" t="n">
        <f aca="false">K60-H60</f>
        <v>4618399</v>
      </c>
    </row>
    <row r="61" customFormat="false" ht="15" hidden="false" customHeight="false" outlineLevel="0" collapsed="false">
      <c r="A61" s="4" t="n">
        <v>57</v>
      </c>
      <c r="B61" s="4" t="s">
        <v>134</v>
      </c>
      <c r="C61" s="4" t="s">
        <v>135</v>
      </c>
      <c r="D61" s="4" t="s">
        <v>135</v>
      </c>
      <c r="E61" s="4" t="s">
        <v>23</v>
      </c>
      <c r="F61" s="5" t="n">
        <v>178293661</v>
      </c>
      <c r="G61" s="5" t="n">
        <v>3527447256</v>
      </c>
      <c r="H61" s="5" t="n">
        <v>261000</v>
      </c>
      <c r="I61" s="5" t="n">
        <v>179126187</v>
      </c>
      <c r="J61" s="5" t="n">
        <v>3527447256</v>
      </c>
      <c r="K61" s="5" t="n">
        <v>4782188</v>
      </c>
      <c r="L61" s="6" t="n">
        <f aca="false">I61-F61</f>
        <v>832526</v>
      </c>
      <c r="M61" s="7" t="n">
        <f aca="false">IFERROR((I61-F61)/F61,"")</f>
        <v>0.00466940885800758</v>
      </c>
      <c r="N61" s="6" t="n">
        <f aca="false">J61-G61</f>
        <v>0</v>
      </c>
      <c r="O61" s="8" t="n">
        <f aca="false">IFERROR((J61-G61)/G61,"")</f>
        <v>0</v>
      </c>
      <c r="P61" s="6" t="n">
        <f aca="false">K61-H61</f>
        <v>4521188</v>
      </c>
    </row>
    <row r="62" customFormat="false" ht="15" hidden="false" customHeight="false" outlineLevel="0" collapsed="false">
      <c r="A62" s="9" t="n">
        <v>58</v>
      </c>
      <c r="B62" s="9" t="s">
        <v>136</v>
      </c>
      <c r="C62" s="9" t="s">
        <v>137</v>
      </c>
      <c r="D62" s="9" t="s">
        <v>137</v>
      </c>
      <c r="E62" s="9" t="s">
        <v>23</v>
      </c>
      <c r="F62" s="10" t="n">
        <v>170532823</v>
      </c>
      <c r="G62" s="10" t="n">
        <v>3072695268</v>
      </c>
      <c r="H62" s="10" t="n">
        <v>13145272</v>
      </c>
      <c r="I62" s="10" t="n">
        <v>178270719</v>
      </c>
      <c r="J62" s="10" t="n">
        <v>3072695268</v>
      </c>
      <c r="K62" s="10" t="n">
        <v>17532488</v>
      </c>
      <c r="L62" s="11" t="n">
        <f aca="false">I62-F62</f>
        <v>7737896</v>
      </c>
      <c r="M62" s="12" t="n">
        <f aca="false">IFERROR((I62-F62)/F62,"")</f>
        <v>0.0453748191337922</v>
      </c>
      <c r="N62" s="11" t="n">
        <f aca="false">J62-G62</f>
        <v>0</v>
      </c>
      <c r="O62" s="13" t="n">
        <f aca="false">IFERROR((J62-G62)/G62,"")</f>
        <v>0</v>
      </c>
      <c r="P62" s="11" t="n">
        <f aca="false">K62-H62</f>
        <v>4387216</v>
      </c>
    </row>
    <row r="63" customFormat="false" ht="15" hidden="false" customHeight="false" outlineLevel="0" collapsed="false">
      <c r="A63" s="4" t="n">
        <v>59</v>
      </c>
      <c r="B63" s="4" t="s">
        <v>138</v>
      </c>
      <c r="C63" s="4" t="s">
        <v>139</v>
      </c>
      <c r="D63" s="4" t="s">
        <v>139</v>
      </c>
      <c r="E63" s="4" t="s">
        <v>23</v>
      </c>
      <c r="F63" s="5" t="n">
        <v>173709768</v>
      </c>
      <c r="G63" s="5" t="n">
        <v>2293755051</v>
      </c>
      <c r="H63" s="5" t="n">
        <v>5768970</v>
      </c>
      <c r="I63" s="5" t="n">
        <v>177960201</v>
      </c>
      <c r="J63" s="5" t="n">
        <v>2293755051</v>
      </c>
      <c r="K63" s="5" t="n">
        <v>10225570</v>
      </c>
      <c r="L63" s="6" t="n">
        <f aca="false">I63-F63</f>
        <v>4250433</v>
      </c>
      <c r="M63" s="7" t="n">
        <f aca="false">IFERROR((I63-F63)/F63,"")</f>
        <v>0.0244685894693038</v>
      </c>
      <c r="N63" s="6" t="n">
        <f aca="false">J63-G63</f>
        <v>0</v>
      </c>
      <c r="O63" s="8" t="n">
        <f aca="false">IFERROR((J63-G63)/G63,"")</f>
        <v>0</v>
      </c>
      <c r="P63" s="6" t="n">
        <f aca="false">K63-H63</f>
        <v>4456600</v>
      </c>
    </row>
    <row r="64" customFormat="false" ht="15" hidden="false" customHeight="false" outlineLevel="0" collapsed="false">
      <c r="A64" s="9" t="n">
        <v>60</v>
      </c>
      <c r="B64" s="9" t="s">
        <v>140</v>
      </c>
      <c r="C64" s="9" t="s">
        <v>141</v>
      </c>
      <c r="D64" s="9" t="s">
        <v>141</v>
      </c>
      <c r="E64" s="9" t="s">
        <v>23</v>
      </c>
      <c r="F64" s="10" t="n">
        <v>159424566</v>
      </c>
      <c r="G64" s="10" t="n">
        <v>2317600447</v>
      </c>
      <c r="H64" s="10" t="n">
        <v>5297347</v>
      </c>
      <c r="I64" s="10" t="n">
        <v>176636727</v>
      </c>
      <c r="J64" s="10" t="n">
        <v>2317600447</v>
      </c>
      <c r="K64" s="10" t="n">
        <v>9948647</v>
      </c>
      <c r="L64" s="11" t="n">
        <f aca="false">I64-F64</f>
        <v>17212161</v>
      </c>
      <c r="M64" s="12" t="n">
        <f aca="false">IFERROR((I64-F64)/F64,"")</f>
        <v>0.107964295791152</v>
      </c>
      <c r="N64" s="11" t="n">
        <f aca="false">J64-G64</f>
        <v>0</v>
      </c>
      <c r="O64" s="13" t="n">
        <f aca="false">IFERROR((J64-G64)/G64,"")</f>
        <v>0</v>
      </c>
      <c r="P64" s="11" t="n">
        <f aca="false">K64-H64</f>
        <v>4651300</v>
      </c>
    </row>
    <row r="65" customFormat="false" ht="15" hidden="false" customHeight="false" outlineLevel="0" collapsed="false">
      <c r="A65" s="4" t="n">
        <v>61</v>
      </c>
      <c r="B65" s="4" t="s">
        <v>142</v>
      </c>
      <c r="C65" s="4" t="s">
        <v>143</v>
      </c>
      <c r="D65" s="4" t="s">
        <v>143</v>
      </c>
      <c r="E65" s="4" t="s">
        <v>23</v>
      </c>
      <c r="F65" s="5" t="n">
        <v>175047218</v>
      </c>
      <c r="G65" s="5" t="n">
        <v>2583294395</v>
      </c>
      <c r="H65" s="5" t="n">
        <v>155100</v>
      </c>
      <c r="I65" s="5" t="n">
        <v>176302115</v>
      </c>
      <c r="J65" s="5" t="n">
        <v>2583294395</v>
      </c>
      <c r="K65" s="5" t="n">
        <v>4857800</v>
      </c>
      <c r="L65" s="6" t="n">
        <f aca="false">I65-F65</f>
        <v>1254897</v>
      </c>
      <c r="M65" s="7" t="n">
        <f aca="false">IFERROR((I65-F65)/F65,"")</f>
        <v>0.0071689057063449</v>
      </c>
      <c r="N65" s="6" t="n">
        <f aca="false">J65-G65</f>
        <v>0</v>
      </c>
      <c r="O65" s="8" t="n">
        <f aca="false">IFERROR((J65-G65)/G65,"")</f>
        <v>0</v>
      </c>
      <c r="P65" s="6" t="n">
        <f aca="false">K65-H65</f>
        <v>4702700</v>
      </c>
    </row>
    <row r="66" customFormat="false" ht="15" hidden="false" customHeight="false" outlineLevel="0" collapsed="false">
      <c r="A66" s="9" t="n">
        <v>62</v>
      </c>
      <c r="B66" s="9" t="s">
        <v>144</v>
      </c>
      <c r="C66" s="9" t="s">
        <v>145</v>
      </c>
      <c r="D66" s="9" t="s">
        <v>145</v>
      </c>
      <c r="E66" s="9" t="s">
        <v>23</v>
      </c>
      <c r="F66" s="10" t="n">
        <v>173273645</v>
      </c>
      <c r="G66" s="10" t="n">
        <v>2581937846</v>
      </c>
      <c r="H66" s="10" t="n">
        <v>4363703</v>
      </c>
      <c r="I66" s="10" t="n">
        <v>175841576</v>
      </c>
      <c r="J66" s="10" t="n">
        <v>2581937846</v>
      </c>
      <c r="K66" s="10" t="n">
        <v>8855861</v>
      </c>
      <c r="L66" s="11" t="n">
        <f aca="false">I66-F66</f>
        <v>2567931</v>
      </c>
      <c r="M66" s="12" t="n">
        <f aca="false">IFERROR((I66-F66)/F66,"")</f>
        <v>0.0148200899219267</v>
      </c>
      <c r="N66" s="11" t="n">
        <f aca="false">J66-G66</f>
        <v>0</v>
      </c>
      <c r="O66" s="13" t="n">
        <f aca="false">IFERROR((J66-G66)/G66,"")</f>
        <v>0</v>
      </c>
      <c r="P66" s="11" t="n">
        <f aca="false">K66-H66</f>
        <v>4492158</v>
      </c>
    </row>
    <row r="67" customFormat="false" ht="15" hidden="false" customHeight="false" outlineLevel="0" collapsed="false">
      <c r="A67" s="4" t="n">
        <v>63</v>
      </c>
      <c r="B67" s="4" t="s">
        <v>146</v>
      </c>
      <c r="C67" s="4" t="s">
        <v>147</v>
      </c>
      <c r="D67" s="4" t="s">
        <v>147</v>
      </c>
      <c r="E67" s="4" t="s">
        <v>23</v>
      </c>
      <c r="F67" s="5" t="n">
        <v>163810683</v>
      </c>
      <c r="G67" s="5" t="n">
        <v>2309062300</v>
      </c>
      <c r="H67" s="5" t="n">
        <v>5643156</v>
      </c>
      <c r="I67" s="5" t="n">
        <v>175272752</v>
      </c>
      <c r="J67" s="5" t="n">
        <v>2309062300</v>
      </c>
      <c r="K67" s="5" t="n">
        <v>10390956</v>
      </c>
      <c r="L67" s="6" t="n">
        <f aca="false">I67-F67</f>
        <v>11462069</v>
      </c>
      <c r="M67" s="7" t="n">
        <f aca="false">IFERROR((I67-F67)/F67,"")</f>
        <v>0.0699714376992128</v>
      </c>
      <c r="N67" s="6" t="n">
        <f aca="false">J67-G67</f>
        <v>0</v>
      </c>
      <c r="O67" s="8" t="n">
        <f aca="false">IFERROR((J67-G67)/G67,"")</f>
        <v>0</v>
      </c>
      <c r="P67" s="6" t="n">
        <f aca="false">K67-H67</f>
        <v>4747800</v>
      </c>
    </row>
    <row r="68" customFormat="false" ht="15" hidden="false" customHeight="false" outlineLevel="0" collapsed="false">
      <c r="A68" s="9" t="n">
        <v>64</v>
      </c>
      <c r="B68" s="9" t="s">
        <v>148</v>
      </c>
      <c r="C68" s="9" t="s">
        <v>149</v>
      </c>
      <c r="D68" s="9" t="s">
        <v>149</v>
      </c>
      <c r="E68" s="9" t="s">
        <v>23</v>
      </c>
      <c r="F68" s="10" t="n">
        <v>168793152</v>
      </c>
      <c r="G68" s="10" t="n">
        <v>4706152740</v>
      </c>
      <c r="H68" s="10" t="n">
        <v>5079106</v>
      </c>
      <c r="I68" s="10" t="n">
        <v>174855208</v>
      </c>
      <c r="J68" s="10" t="n">
        <v>4706152740</v>
      </c>
      <c r="K68" s="10" t="n">
        <v>9428406</v>
      </c>
      <c r="L68" s="11" t="n">
        <f aca="false">I68-F68</f>
        <v>6062056</v>
      </c>
      <c r="M68" s="12" t="n">
        <f aca="false">IFERROR((I68-F68)/F68,"")</f>
        <v>0.0359141110179636</v>
      </c>
      <c r="N68" s="11" t="n">
        <f aca="false">J68-G68</f>
        <v>0</v>
      </c>
      <c r="O68" s="13" t="n">
        <f aca="false">IFERROR((J68-G68)/G68,"")</f>
        <v>0</v>
      </c>
      <c r="P68" s="11" t="n">
        <f aca="false">K68-H68</f>
        <v>4349300</v>
      </c>
    </row>
    <row r="69" customFormat="false" ht="15" hidden="false" customHeight="false" outlineLevel="0" collapsed="false">
      <c r="A69" s="4" t="n">
        <v>65</v>
      </c>
      <c r="B69" s="4" t="s">
        <v>150</v>
      </c>
      <c r="C69" s="4" t="s">
        <v>151</v>
      </c>
      <c r="D69" s="4" t="s">
        <v>151</v>
      </c>
      <c r="E69" s="4" t="s">
        <v>23</v>
      </c>
      <c r="F69" s="5" t="n">
        <v>162455438</v>
      </c>
      <c r="G69" s="5" t="n">
        <v>2354765622</v>
      </c>
      <c r="H69" s="5" t="n">
        <v>5476052</v>
      </c>
      <c r="I69" s="5" t="n">
        <v>173367185</v>
      </c>
      <c r="J69" s="5" t="n">
        <v>2354765622</v>
      </c>
      <c r="K69" s="5" t="n">
        <v>10370346</v>
      </c>
      <c r="L69" s="6" t="n">
        <f aca="false">I69-F69</f>
        <v>10911747</v>
      </c>
      <c r="M69" s="7" t="n">
        <f aca="false">IFERROR((I69-F69)/F69,"")</f>
        <v>0.0671676315322852</v>
      </c>
      <c r="N69" s="6" t="n">
        <f aca="false">J69-G69</f>
        <v>0</v>
      </c>
      <c r="O69" s="8" t="n">
        <f aca="false">IFERROR((J69-G69)/G69,"")</f>
        <v>0</v>
      </c>
      <c r="P69" s="6" t="n">
        <f aca="false">K69-H69</f>
        <v>4894294</v>
      </c>
    </row>
    <row r="70" customFormat="false" ht="15" hidden="false" customHeight="false" outlineLevel="0" collapsed="false">
      <c r="A70" s="17" t="n">
        <v>66</v>
      </c>
      <c r="B70" s="17" t="s">
        <v>152</v>
      </c>
      <c r="C70" s="17" t="s">
        <v>153</v>
      </c>
      <c r="D70" s="17" t="s">
        <v>154</v>
      </c>
      <c r="E70" s="17" t="s">
        <v>155</v>
      </c>
      <c r="F70" s="18" t="n">
        <v>171077211</v>
      </c>
      <c r="G70" s="18" t="n">
        <v>9359833613</v>
      </c>
      <c r="H70" s="18" t="n">
        <v>5487238</v>
      </c>
      <c r="I70" s="18" t="n">
        <v>172858316</v>
      </c>
      <c r="J70" s="18" t="n">
        <v>9359834165</v>
      </c>
      <c r="K70" s="18" t="n">
        <v>304500</v>
      </c>
      <c r="L70" s="19" t="n">
        <f aca="false">I70-F70</f>
        <v>1781105</v>
      </c>
      <c r="M70" s="20" t="n">
        <f aca="false">IFERROR((I70-F70)/F70,"")</f>
        <v>0.0104111178197779</v>
      </c>
      <c r="N70" s="19" t="n">
        <f aca="false">J70-G70</f>
        <v>552</v>
      </c>
      <c r="O70" s="21" t="n">
        <f aca="false">IFERROR((J70-G70)/G70,"")</f>
        <v>5.89754073441348E-008</v>
      </c>
      <c r="P70" s="22" t="n">
        <f aca="false">K70-H70</f>
        <v>-5182738</v>
      </c>
    </row>
    <row r="71" customFormat="false" ht="15" hidden="false" customHeight="false" outlineLevel="0" collapsed="false">
      <c r="A71" s="4" t="n">
        <v>67</v>
      </c>
      <c r="B71" s="4" t="s">
        <v>156</v>
      </c>
      <c r="C71" s="4" t="s">
        <v>157</v>
      </c>
      <c r="D71" s="4" t="s">
        <v>157</v>
      </c>
      <c r="E71" s="4" t="s">
        <v>23</v>
      </c>
      <c r="F71" s="5" t="n">
        <v>160005832</v>
      </c>
      <c r="G71" s="5" t="n">
        <v>2359765940</v>
      </c>
      <c r="H71" s="5" t="n">
        <v>12066400</v>
      </c>
      <c r="I71" s="5" t="n">
        <v>172833505</v>
      </c>
      <c r="J71" s="5" t="n">
        <v>2359765940</v>
      </c>
      <c r="K71" s="5" t="n">
        <v>16572300</v>
      </c>
      <c r="L71" s="6" t="n">
        <f aca="false">I71-F71</f>
        <v>12827673</v>
      </c>
      <c r="M71" s="7" t="n">
        <f aca="false">IFERROR((I71-F71)/F71,"")</f>
        <v>0.0801700340522588</v>
      </c>
      <c r="N71" s="6" t="n">
        <f aca="false">J71-G71</f>
        <v>0</v>
      </c>
      <c r="O71" s="8" t="n">
        <f aca="false">IFERROR((J71-G71)/G71,"")</f>
        <v>0</v>
      </c>
      <c r="P71" s="6" t="n">
        <f aca="false">K71-H71</f>
        <v>4505900</v>
      </c>
    </row>
    <row r="72" customFormat="false" ht="15" hidden="false" customHeight="false" outlineLevel="0" collapsed="false">
      <c r="A72" s="9" t="n">
        <v>68</v>
      </c>
      <c r="B72" s="9" t="s">
        <v>158</v>
      </c>
      <c r="C72" s="9" t="s">
        <v>159</v>
      </c>
      <c r="D72" s="9" t="s">
        <v>159</v>
      </c>
      <c r="E72" s="9" t="s">
        <v>23</v>
      </c>
      <c r="F72" s="10" t="n">
        <v>170930797</v>
      </c>
      <c r="G72" s="10" t="n">
        <v>3029698442</v>
      </c>
      <c r="H72" s="10" t="n">
        <v>21365843</v>
      </c>
      <c r="I72" s="10" t="n">
        <v>172767703</v>
      </c>
      <c r="J72" s="10" t="n">
        <v>3029698442</v>
      </c>
      <c r="K72" s="10" t="n">
        <v>25848743</v>
      </c>
      <c r="L72" s="11" t="n">
        <f aca="false">I72-F72</f>
        <v>1836906</v>
      </c>
      <c r="M72" s="12" t="n">
        <f aca="false">IFERROR((I72-F72)/F72,"")</f>
        <v>0.0107464894111504</v>
      </c>
      <c r="N72" s="11" t="n">
        <f aca="false">J72-G72</f>
        <v>0</v>
      </c>
      <c r="O72" s="13" t="n">
        <f aca="false">IFERROR((J72-G72)/G72,"")</f>
        <v>0</v>
      </c>
      <c r="P72" s="11" t="n">
        <f aca="false">K72-H72</f>
        <v>4482900</v>
      </c>
    </row>
    <row r="73" customFormat="false" ht="15" hidden="false" customHeight="false" outlineLevel="0" collapsed="false">
      <c r="A73" s="4" t="n">
        <v>69</v>
      </c>
      <c r="B73" s="4" t="s">
        <v>160</v>
      </c>
      <c r="C73" s="4" t="s">
        <v>161</v>
      </c>
      <c r="D73" s="4" t="s">
        <v>161</v>
      </c>
      <c r="E73" s="4" t="s">
        <v>23</v>
      </c>
      <c r="F73" s="5" t="n">
        <v>172439522</v>
      </c>
      <c r="G73" s="5" t="n">
        <v>2698116736</v>
      </c>
      <c r="H73" s="5" t="n">
        <v>422200</v>
      </c>
      <c r="I73" s="5" t="n">
        <v>172307088</v>
      </c>
      <c r="J73" s="5" t="n">
        <v>2698116736</v>
      </c>
      <c r="K73" s="5" t="n">
        <v>4826700</v>
      </c>
      <c r="L73" s="15" t="n">
        <f aca="false">I73-F73</f>
        <v>-132434</v>
      </c>
      <c r="M73" s="16" t="n">
        <f aca="false">IFERROR((I73-F73)/F73,"")</f>
        <v>-0.00076800259281628</v>
      </c>
      <c r="N73" s="6" t="n">
        <f aca="false">J73-G73</f>
        <v>0</v>
      </c>
      <c r="O73" s="8" t="n">
        <f aca="false">IFERROR((J73-G73)/G73,"")</f>
        <v>0</v>
      </c>
      <c r="P73" s="6" t="n">
        <f aca="false">K73-H73</f>
        <v>4404500</v>
      </c>
    </row>
    <row r="74" customFormat="false" ht="15" hidden="false" customHeight="false" outlineLevel="0" collapsed="false">
      <c r="A74" s="9" t="n">
        <v>70</v>
      </c>
      <c r="B74" s="9" t="s">
        <v>162</v>
      </c>
      <c r="C74" s="9" t="s">
        <v>163</v>
      </c>
      <c r="D74" s="9" t="s">
        <v>163</v>
      </c>
      <c r="E74" s="9" t="s">
        <v>23</v>
      </c>
      <c r="F74" s="10" t="n">
        <v>172352713</v>
      </c>
      <c r="G74" s="10" t="n">
        <v>1390095238</v>
      </c>
      <c r="H74" s="10" t="n">
        <v>19944595</v>
      </c>
      <c r="I74" s="10" t="n">
        <v>172339390</v>
      </c>
      <c r="J74" s="10" t="n">
        <v>1390095238</v>
      </c>
      <c r="K74" s="10" t="n">
        <v>24203696</v>
      </c>
      <c r="L74" s="14" t="n">
        <f aca="false">I74-F74</f>
        <v>-13323</v>
      </c>
      <c r="M74" s="23" t="n">
        <f aca="false">IFERROR((I74-F74)/F74,"")</f>
        <v>-7.73007849316535E-005</v>
      </c>
      <c r="N74" s="11" t="n">
        <f aca="false">J74-G74</f>
        <v>0</v>
      </c>
      <c r="O74" s="13" t="n">
        <f aca="false">IFERROR((J74-G74)/G74,"")</f>
        <v>0</v>
      </c>
      <c r="P74" s="11" t="n">
        <f aca="false">K74-H74</f>
        <v>4259101</v>
      </c>
    </row>
    <row r="75" customFormat="false" ht="15" hidden="false" customHeight="false" outlineLevel="0" collapsed="false">
      <c r="A75" s="4" t="n">
        <v>71</v>
      </c>
      <c r="B75" s="4" t="s">
        <v>164</v>
      </c>
      <c r="C75" s="4" t="s">
        <v>165</v>
      </c>
      <c r="D75" s="4" t="s">
        <v>165</v>
      </c>
      <c r="E75" s="4" t="s">
        <v>23</v>
      </c>
      <c r="F75" s="5" t="n">
        <v>171205703</v>
      </c>
      <c r="G75" s="5" t="n">
        <v>3284874494</v>
      </c>
      <c r="H75" s="5" t="n">
        <v>6298795</v>
      </c>
      <c r="I75" s="5" t="n">
        <v>172260964</v>
      </c>
      <c r="J75" s="5" t="n">
        <v>3284874494</v>
      </c>
      <c r="K75" s="5" t="n">
        <v>10773395</v>
      </c>
      <c r="L75" s="6" t="n">
        <f aca="false">I75-F75</f>
        <v>1055261</v>
      </c>
      <c r="M75" s="7" t="n">
        <f aca="false">IFERROR((I75-F75)/F75,"")</f>
        <v>0.00616370238554495</v>
      </c>
      <c r="N75" s="6" t="n">
        <f aca="false">J75-G75</f>
        <v>0</v>
      </c>
      <c r="O75" s="8" t="n">
        <f aca="false">IFERROR((J75-G75)/G75,"")</f>
        <v>0</v>
      </c>
      <c r="P75" s="6" t="n">
        <f aca="false">K75-H75</f>
        <v>4474600</v>
      </c>
    </row>
    <row r="76" customFormat="false" ht="15" hidden="false" customHeight="false" outlineLevel="0" collapsed="false">
      <c r="A76" s="9" t="n">
        <v>72</v>
      </c>
      <c r="B76" s="9" t="s">
        <v>166</v>
      </c>
      <c r="C76" s="9" t="s">
        <v>167</v>
      </c>
      <c r="D76" s="9" t="s">
        <v>167</v>
      </c>
      <c r="E76" s="9" t="s">
        <v>23</v>
      </c>
      <c r="F76" s="10" t="n">
        <v>168855742</v>
      </c>
      <c r="G76" s="10" t="n">
        <v>5548895901</v>
      </c>
      <c r="H76" s="10" t="n">
        <v>12490894</v>
      </c>
      <c r="I76" s="10" t="n">
        <v>171884741</v>
      </c>
      <c r="J76" s="10" t="n">
        <v>5548895901</v>
      </c>
      <c r="K76" s="10" t="n">
        <v>17205094</v>
      </c>
      <c r="L76" s="11" t="n">
        <f aca="false">I76-F76</f>
        <v>3028999</v>
      </c>
      <c r="M76" s="12" t="n">
        <f aca="false">IFERROR((I76-F76)/F76,"")</f>
        <v>0.0179383831673311</v>
      </c>
      <c r="N76" s="11" t="n">
        <f aca="false">J76-G76</f>
        <v>0</v>
      </c>
      <c r="O76" s="13" t="n">
        <f aca="false">IFERROR((J76-G76)/G76,"")</f>
        <v>0</v>
      </c>
      <c r="P76" s="11" t="n">
        <f aca="false">K76-H76</f>
        <v>4714200</v>
      </c>
    </row>
    <row r="77" customFormat="false" ht="15" hidden="false" customHeight="false" outlineLevel="0" collapsed="false">
      <c r="A77" s="4" t="n">
        <v>73</v>
      </c>
      <c r="B77" s="4" t="s">
        <v>168</v>
      </c>
      <c r="C77" s="4" t="s">
        <v>169</v>
      </c>
      <c r="D77" s="4" t="s">
        <v>169</v>
      </c>
      <c r="E77" s="4" t="s">
        <v>23</v>
      </c>
      <c r="F77" s="5" t="n">
        <v>165554634</v>
      </c>
      <c r="G77" s="5" t="n">
        <v>13406750553</v>
      </c>
      <c r="H77" s="5" t="n">
        <v>5700</v>
      </c>
      <c r="I77" s="5" t="n">
        <v>170309661</v>
      </c>
      <c r="J77" s="5" t="n">
        <v>13406750553</v>
      </c>
      <c r="K77" s="5" t="n">
        <v>4756100</v>
      </c>
      <c r="L77" s="6" t="n">
        <f aca="false">I77-F77</f>
        <v>4755027</v>
      </c>
      <c r="M77" s="7" t="n">
        <f aca="false">IFERROR((I77-F77)/F77,"")</f>
        <v>0.0287217994755737</v>
      </c>
      <c r="N77" s="6" t="n">
        <f aca="false">J77-G77</f>
        <v>0</v>
      </c>
      <c r="O77" s="8" t="n">
        <f aca="false">IFERROR((J77-G77)/G77,"")</f>
        <v>0</v>
      </c>
      <c r="P77" s="6" t="n">
        <f aca="false">K77-H77</f>
        <v>4750400</v>
      </c>
    </row>
    <row r="78" customFormat="false" ht="15" hidden="false" customHeight="false" outlineLevel="0" collapsed="false">
      <c r="A78" s="9" t="n">
        <v>74</v>
      </c>
      <c r="B78" s="9" t="s">
        <v>170</v>
      </c>
      <c r="C78" s="9" t="s">
        <v>171</v>
      </c>
      <c r="D78" s="9" t="s">
        <v>171</v>
      </c>
      <c r="E78" s="9" t="s">
        <v>23</v>
      </c>
      <c r="F78" s="10" t="n">
        <v>166696296</v>
      </c>
      <c r="G78" s="10" t="n">
        <v>4162034009</v>
      </c>
      <c r="H78" s="10" t="n">
        <v>5972135</v>
      </c>
      <c r="I78" s="10" t="n">
        <v>169981829</v>
      </c>
      <c r="J78" s="10" t="n">
        <v>4162034009</v>
      </c>
      <c r="K78" s="10" t="n">
        <v>10451570</v>
      </c>
      <c r="L78" s="11" t="n">
        <f aca="false">I78-F78</f>
        <v>3285533</v>
      </c>
      <c r="M78" s="12" t="n">
        <f aca="false">IFERROR((I78-F78)/F78,"")</f>
        <v>0.0197096940894236</v>
      </c>
      <c r="N78" s="11" t="n">
        <f aca="false">J78-G78</f>
        <v>0</v>
      </c>
      <c r="O78" s="13" t="n">
        <f aca="false">IFERROR((J78-G78)/G78,"")</f>
        <v>0</v>
      </c>
      <c r="P78" s="11" t="n">
        <f aca="false">K78-H78</f>
        <v>4479435</v>
      </c>
    </row>
    <row r="79" customFormat="false" ht="15" hidden="false" customHeight="false" outlineLevel="0" collapsed="false">
      <c r="A79" s="4" t="n">
        <v>75</v>
      </c>
      <c r="B79" s="4" t="s">
        <v>172</v>
      </c>
      <c r="C79" s="4" t="s">
        <v>173</v>
      </c>
      <c r="D79" s="4" t="s">
        <v>173</v>
      </c>
      <c r="E79" s="4" t="s">
        <v>23</v>
      </c>
      <c r="F79" s="5" t="n">
        <v>168777760</v>
      </c>
      <c r="G79" s="5" t="n">
        <v>3422319273</v>
      </c>
      <c r="H79" s="5" t="n">
        <v>10461467</v>
      </c>
      <c r="I79" s="5" t="n">
        <v>169707730</v>
      </c>
      <c r="J79" s="5" t="n">
        <v>3422319273</v>
      </c>
      <c r="K79" s="5" t="n">
        <v>15098642</v>
      </c>
      <c r="L79" s="6" t="n">
        <f aca="false">I79-F79</f>
        <v>929970</v>
      </c>
      <c r="M79" s="7" t="n">
        <f aca="false">IFERROR((I79-F79)/F79,"")</f>
        <v>0.00551002691349856</v>
      </c>
      <c r="N79" s="6" t="n">
        <f aca="false">J79-G79</f>
        <v>0</v>
      </c>
      <c r="O79" s="8" t="n">
        <f aca="false">IFERROR((J79-G79)/G79,"")</f>
        <v>0</v>
      </c>
      <c r="P79" s="6" t="n">
        <f aca="false">K79-H79</f>
        <v>4637175</v>
      </c>
    </row>
    <row r="80" customFormat="false" ht="15" hidden="false" customHeight="false" outlineLevel="0" collapsed="false">
      <c r="A80" s="9" t="n">
        <v>76</v>
      </c>
      <c r="B80" s="9" t="s">
        <v>174</v>
      </c>
      <c r="C80" s="9" t="s">
        <v>175</v>
      </c>
      <c r="D80" s="9" t="s">
        <v>175</v>
      </c>
      <c r="E80" s="9" t="s">
        <v>23</v>
      </c>
      <c r="F80" s="10" t="n">
        <v>168598142</v>
      </c>
      <c r="G80" s="10" t="n">
        <v>2307682967</v>
      </c>
      <c r="H80" s="10" t="n">
        <v>201800</v>
      </c>
      <c r="I80" s="10" t="n">
        <v>169470545</v>
      </c>
      <c r="J80" s="10" t="n">
        <v>2307682967</v>
      </c>
      <c r="K80" s="10" t="n">
        <v>4560376</v>
      </c>
      <c r="L80" s="11" t="n">
        <f aca="false">I80-F80</f>
        <v>872403</v>
      </c>
      <c r="M80" s="12" t="n">
        <f aca="false">IFERROR((I80-F80)/F80,"")</f>
        <v>0.00517445204111443</v>
      </c>
      <c r="N80" s="11" t="n">
        <f aca="false">J80-G80</f>
        <v>0</v>
      </c>
      <c r="O80" s="13" t="n">
        <f aca="false">IFERROR((J80-G80)/G80,"")</f>
        <v>0</v>
      </c>
      <c r="P80" s="11" t="n">
        <f aca="false">K80-H80</f>
        <v>4358576</v>
      </c>
    </row>
    <row r="81" customFormat="false" ht="15" hidden="false" customHeight="false" outlineLevel="0" collapsed="false">
      <c r="A81" s="4" t="n">
        <v>77</v>
      </c>
      <c r="B81" s="4" t="s">
        <v>176</v>
      </c>
      <c r="C81" s="4" t="s">
        <v>177</v>
      </c>
      <c r="D81" s="4" t="s">
        <v>177</v>
      </c>
      <c r="E81" s="4" t="s">
        <v>178</v>
      </c>
      <c r="F81" s="5" t="n">
        <v>165369939</v>
      </c>
      <c r="G81" s="5" t="n">
        <v>5710665925</v>
      </c>
      <c r="H81" s="5" t="n">
        <v>8932754</v>
      </c>
      <c r="I81" s="5" t="n">
        <v>169332556</v>
      </c>
      <c r="J81" s="5" t="n">
        <v>5710665925</v>
      </c>
      <c r="K81" s="5" t="n">
        <v>13147954</v>
      </c>
      <c r="L81" s="6" t="n">
        <f aca="false">I81-F81</f>
        <v>3962617</v>
      </c>
      <c r="M81" s="7" t="n">
        <f aca="false">IFERROR((I81-F81)/F81,"")</f>
        <v>0.0239621361896977</v>
      </c>
      <c r="N81" s="6" t="n">
        <f aca="false">J81-G81</f>
        <v>0</v>
      </c>
      <c r="O81" s="8" t="n">
        <f aca="false">IFERROR((J81-G81)/G81,"")</f>
        <v>0</v>
      </c>
      <c r="P81" s="6" t="n">
        <f aca="false">K81-H81</f>
        <v>4215200</v>
      </c>
    </row>
    <row r="82" customFormat="false" ht="15" hidden="false" customHeight="false" outlineLevel="0" collapsed="false">
      <c r="A82" s="9" t="n">
        <v>78</v>
      </c>
      <c r="B82" s="9" t="s">
        <v>179</v>
      </c>
      <c r="C82" s="9" t="s">
        <v>180</v>
      </c>
      <c r="D82" s="9" t="s">
        <v>180</v>
      </c>
      <c r="E82" s="9" t="s">
        <v>23</v>
      </c>
      <c r="F82" s="10" t="n">
        <v>168405725</v>
      </c>
      <c r="G82" s="10" t="n">
        <v>3772548003</v>
      </c>
      <c r="H82" s="10" t="n">
        <v>21783108</v>
      </c>
      <c r="I82" s="10" t="n">
        <v>169247919</v>
      </c>
      <c r="J82" s="10" t="n">
        <v>3772548003</v>
      </c>
      <c r="K82" s="10" t="n">
        <v>821600</v>
      </c>
      <c r="L82" s="11" t="n">
        <f aca="false">I82-F82</f>
        <v>842194</v>
      </c>
      <c r="M82" s="12" t="n">
        <f aca="false">IFERROR((I82-F82)/F82,"")</f>
        <v>0.00500098200343248</v>
      </c>
      <c r="N82" s="11" t="n">
        <f aca="false">J82-G82</f>
        <v>0</v>
      </c>
      <c r="O82" s="13" t="n">
        <f aca="false">IFERROR((J82-G82)/G82,"")</f>
        <v>0</v>
      </c>
      <c r="P82" s="14" t="n">
        <f aca="false">K82-H82</f>
        <v>-20961508</v>
      </c>
    </row>
    <row r="83" customFormat="false" ht="15" hidden="false" customHeight="false" outlineLevel="0" collapsed="false">
      <c r="A83" s="4" t="n">
        <v>79</v>
      </c>
      <c r="B83" s="4" t="s">
        <v>181</v>
      </c>
      <c r="C83" s="4" t="s">
        <v>182</v>
      </c>
      <c r="D83" s="4" t="s">
        <v>182</v>
      </c>
      <c r="E83" s="4" t="s">
        <v>23</v>
      </c>
      <c r="F83" s="5" t="n">
        <v>146816835</v>
      </c>
      <c r="G83" s="5" t="n">
        <v>5473961017</v>
      </c>
      <c r="H83" s="5" t="n">
        <v>13615369</v>
      </c>
      <c r="I83" s="5" t="n">
        <v>169106416</v>
      </c>
      <c r="J83" s="5" t="n">
        <v>5473961017</v>
      </c>
      <c r="K83" s="5" t="n">
        <v>18273449</v>
      </c>
      <c r="L83" s="6" t="n">
        <f aca="false">I83-F83</f>
        <v>22289581</v>
      </c>
      <c r="M83" s="7" t="n">
        <f aca="false">IFERROR((I83-F83)/F83,"")</f>
        <v>0.151818972258869</v>
      </c>
      <c r="N83" s="6" t="n">
        <f aca="false">J83-G83</f>
        <v>0</v>
      </c>
      <c r="O83" s="8" t="n">
        <f aca="false">IFERROR((J83-G83)/G83,"")</f>
        <v>0</v>
      </c>
      <c r="P83" s="6" t="n">
        <f aca="false">K83-H83</f>
        <v>4658080</v>
      </c>
    </row>
    <row r="84" customFormat="false" ht="15" hidden="false" customHeight="false" outlineLevel="0" collapsed="false">
      <c r="A84" s="9" t="n">
        <v>80</v>
      </c>
      <c r="B84" s="9" t="s">
        <v>183</v>
      </c>
      <c r="C84" s="9" t="s">
        <v>184</v>
      </c>
      <c r="D84" s="9" t="s">
        <v>184</v>
      </c>
      <c r="E84" s="9" t="s">
        <v>23</v>
      </c>
      <c r="F84" s="10" t="n">
        <v>165285134</v>
      </c>
      <c r="G84" s="10" t="n">
        <v>3550991285</v>
      </c>
      <c r="H84" s="10" t="n">
        <v>5207557</v>
      </c>
      <c r="I84" s="10" t="n">
        <v>169039686</v>
      </c>
      <c r="J84" s="10" t="n">
        <v>3550991285</v>
      </c>
      <c r="K84" s="10" t="n">
        <v>9538257</v>
      </c>
      <c r="L84" s="11" t="n">
        <f aca="false">I84-F84</f>
        <v>3754552</v>
      </c>
      <c r="M84" s="12" t="n">
        <f aca="false">IFERROR((I84-F84)/F84,"")</f>
        <v>0.0227156061113155</v>
      </c>
      <c r="N84" s="11" t="n">
        <f aca="false">J84-G84</f>
        <v>0</v>
      </c>
      <c r="O84" s="13" t="n">
        <f aca="false">IFERROR((J84-G84)/G84,"")</f>
        <v>0</v>
      </c>
      <c r="P84" s="11" t="n">
        <f aca="false">K84-H84</f>
        <v>4330700</v>
      </c>
    </row>
    <row r="85" customFormat="false" ht="15" hidden="false" customHeight="false" outlineLevel="0" collapsed="false">
      <c r="A85" s="4" t="n">
        <v>81</v>
      </c>
      <c r="B85" s="4" t="s">
        <v>185</v>
      </c>
      <c r="C85" s="4" t="s">
        <v>186</v>
      </c>
      <c r="D85" s="4" t="s">
        <v>186</v>
      </c>
      <c r="E85" s="4" t="s">
        <v>187</v>
      </c>
      <c r="F85" s="5" t="n">
        <v>165899349</v>
      </c>
      <c r="G85" s="5" t="n">
        <v>1176893224</v>
      </c>
      <c r="H85" s="5" t="n">
        <v>13225073</v>
      </c>
      <c r="I85" s="5" t="n">
        <v>169030293</v>
      </c>
      <c r="J85" s="5" t="n">
        <v>1176893224</v>
      </c>
      <c r="K85" s="5" t="n">
        <v>17895087</v>
      </c>
      <c r="L85" s="6" t="n">
        <f aca="false">I85-F85</f>
        <v>3130944</v>
      </c>
      <c r="M85" s="7" t="n">
        <f aca="false">IFERROR((I85-F85)/F85,"")</f>
        <v>0.0188725514528692</v>
      </c>
      <c r="N85" s="6" t="n">
        <f aca="false">J85-G85</f>
        <v>0</v>
      </c>
      <c r="O85" s="8" t="n">
        <f aca="false">IFERROR((J85-G85)/G85,"")</f>
        <v>0</v>
      </c>
      <c r="P85" s="6" t="n">
        <f aca="false">K85-H85</f>
        <v>4670014</v>
      </c>
    </row>
    <row r="86" customFormat="false" ht="15" hidden="false" customHeight="false" outlineLevel="0" collapsed="false">
      <c r="A86" s="9" t="n">
        <v>82</v>
      </c>
      <c r="B86" s="9" t="s">
        <v>188</v>
      </c>
      <c r="C86" s="9" t="s">
        <v>189</v>
      </c>
      <c r="D86" s="9" t="s">
        <v>189</v>
      </c>
      <c r="E86" s="9" t="s">
        <v>23</v>
      </c>
      <c r="F86" s="10" t="n">
        <v>165150135</v>
      </c>
      <c r="G86" s="10" t="n">
        <v>12368192171</v>
      </c>
      <c r="H86" s="10" t="n">
        <v>231800</v>
      </c>
      <c r="I86" s="10" t="n">
        <v>169011680</v>
      </c>
      <c r="J86" s="10" t="n">
        <v>12368192171</v>
      </c>
      <c r="K86" s="10" t="n">
        <v>4634800</v>
      </c>
      <c r="L86" s="11" t="n">
        <f aca="false">I86-F86</f>
        <v>3861545</v>
      </c>
      <c r="M86" s="12" t="n">
        <f aca="false">IFERROR((I86-F86)/F86,"")</f>
        <v>0.023382027510907</v>
      </c>
      <c r="N86" s="11" t="n">
        <f aca="false">J86-G86</f>
        <v>0</v>
      </c>
      <c r="O86" s="13" t="n">
        <f aca="false">IFERROR((J86-G86)/G86,"")</f>
        <v>0</v>
      </c>
      <c r="P86" s="11" t="n">
        <f aca="false">K86-H86</f>
        <v>4403000</v>
      </c>
    </row>
    <row r="87" customFormat="false" ht="15" hidden="false" customHeight="false" outlineLevel="0" collapsed="false">
      <c r="A87" s="4" t="n">
        <v>83</v>
      </c>
      <c r="B87" s="4" t="s">
        <v>190</v>
      </c>
      <c r="C87" s="4" t="s">
        <v>191</v>
      </c>
      <c r="D87" s="4" t="s">
        <v>191</v>
      </c>
      <c r="E87" s="4" t="s">
        <v>23</v>
      </c>
      <c r="F87" s="5" t="n">
        <v>164571630</v>
      </c>
      <c r="G87" s="5" t="n">
        <v>3781488421</v>
      </c>
      <c r="H87" s="5" t="n">
        <v>13019511</v>
      </c>
      <c r="I87" s="5" t="n">
        <v>168935505</v>
      </c>
      <c r="J87" s="5" t="n">
        <v>3781488421</v>
      </c>
      <c r="K87" s="5" t="n">
        <v>17508876</v>
      </c>
      <c r="L87" s="6" t="n">
        <f aca="false">I87-F87</f>
        <v>4363875</v>
      </c>
      <c r="M87" s="7" t="n">
        <f aca="false">IFERROR((I87-F87)/F87,"")</f>
        <v>0.0265165691073243</v>
      </c>
      <c r="N87" s="6" t="n">
        <f aca="false">J87-G87</f>
        <v>0</v>
      </c>
      <c r="O87" s="8" t="n">
        <f aca="false">IFERROR((J87-G87)/G87,"")</f>
        <v>0</v>
      </c>
      <c r="P87" s="6" t="n">
        <f aca="false">K87-H87</f>
        <v>4489365</v>
      </c>
    </row>
    <row r="88" customFormat="false" ht="15" hidden="false" customHeight="false" outlineLevel="0" collapsed="false">
      <c r="A88" s="9" t="n">
        <v>84</v>
      </c>
      <c r="B88" s="9" t="s">
        <v>192</v>
      </c>
      <c r="C88" s="9" t="s">
        <v>193</v>
      </c>
      <c r="D88" s="9" t="s">
        <v>193</v>
      </c>
      <c r="E88" s="9" t="s">
        <v>23</v>
      </c>
      <c r="F88" s="10" t="n">
        <v>164368026</v>
      </c>
      <c r="G88" s="10" t="n">
        <v>4550550908</v>
      </c>
      <c r="H88" s="10" t="n">
        <v>2457053</v>
      </c>
      <c r="I88" s="10" t="n">
        <v>168524312</v>
      </c>
      <c r="J88" s="10" t="n">
        <v>4550550908</v>
      </c>
      <c r="K88" s="10" t="n">
        <v>7088486</v>
      </c>
      <c r="L88" s="11" t="n">
        <f aca="false">I88-F88</f>
        <v>4156286</v>
      </c>
      <c r="M88" s="12" t="n">
        <f aca="false">IFERROR((I88-F88)/F88,"")</f>
        <v>0.0252864629523506</v>
      </c>
      <c r="N88" s="11" t="n">
        <f aca="false">J88-G88</f>
        <v>0</v>
      </c>
      <c r="O88" s="13" t="n">
        <f aca="false">IFERROR((J88-G88)/G88,"")</f>
        <v>0</v>
      </c>
      <c r="P88" s="11" t="n">
        <f aca="false">K88-H88</f>
        <v>4631433</v>
      </c>
    </row>
    <row r="89" customFormat="false" ht="15" hidden="false" customHeight="false" outlineLevel="0" collapsed="false">
      <c r="A89" s="4" t="n">
        <v>85</v>
      </c>
      <c r="B89" s="4" t="s">
        <v>194</v>
      </c>
      <c r="C89" s="4" t="s">
        <v>195</v>
      </c>
      <c r="D89" s="4" t="s">
        <v>195</v>
      </c>
      <c r="E89" s="4" t="s">
        <v>23</v>
      </c>
      <c r="F89" s="5" t="n">
        <v>160036950</v>
      </c>
      <c r="G89" s="5" t="n">
        <v>1245023260</v>
      </c>
      <c r="H89" s="5" t="n">
        <v>13579335</v>
      </c>
      <c r="I89" s="5" t="n">
        <v>168174755</v>
      </c>
      <c r="J89" s="5" t="n">
        <v>1245023260</v>
      </c>
      <c r="K89" s="5" t="n">
        <v>18182135</v>
      </c>
      <c r="L89" s="6" t="n">
        <f aca="false">I89-F89</f>
        <v>8137805</v>
      </c>
      <c r="M89" s="7" t="n">
        <f aca="false">IFERROR((I89-F89)/F89,"")</f>
        <v>0.0508495381847755</v>
      </c>
      <c r="N89" s="6" t="n">
        <f aca="false">J89-G89</f>
        <v>0</v>
      </c>
      <c r="O89" s="8" t="n">
        <f aca="false">IFERROR((J89-G89)/G89,"")</f>
        <v>0</v>
      </c>
      <c r="P89" s="6" t="n">
        <f aca="false">K89-H89</f>
        <v>4602800</v>
      </c>
    </row>
    <row r="90" customFormat="false" ht="15" hidden="false" customHeight="false" outlineLevel="0" collapsed="false">
      <c r="A90" s="9" t="n">
        <v>86</v>
      </c>
      <c r="B90" s="9" t="s">
        <v>196</v>
      </c>
      <c r="C90" s="9" t="s">
        <v>197</v>
      </c>
      <c r="D90" s="9" t="s">
        <v>197</v>
      </c>
      <c r="E90" s="9" t="s">
        <v>198</v>
      </c>
      <c r="F90" s="10" t="n">
        <v>157440212</v>
      </c>
      <c r="G90" s="10" t="n">
        <v>1306975587</v>
      </c>
      <c r="H90" s="10" t="n">
        <v>95508888</v>
      </c>
      <c r="I90" s="10" t="n">
        <v>167262313</v>
      </c>
      <c r="J90" s="10" t="n">
        <v>1306975587</v>
      </c>
      <c r="K90" s="10" t="n">
        <v>99978894</v>
      </c>
      <c r="L90" s="11" t="n">
        <f aca="false">I90-F90</f>
        <v>9822101</v>
      </c>
      <c r="M90" s="12" t="n">
        <f aca="false">IFERROR((I90-F90)/F90,"")</f>
        <v>0.062386228240089</v>
      </c>
      <c r="N90" s="11" t="n">
        <f aca="false">J90-G90</f>
        <v>0</v>
      </c>
      <c r="O90" s="13" t="n">
        <f aca="false">IFERROR((J90-G90)/G90,"")</f>
        <v>0</v>
      </c>
      <c r="P90" s="11" t="n">
        <f aca="false">K90-H90</f>
        <v>4470006</v>
      </c>
    </row>
    <row r="91" customFormat="false" ht="15" hidden="false" customHeight="false" outlineLevel="0" collapsed="false">
      <c r="A91" s="4" t="n">
        <v>87</v>
      </c>
      <c r="B91" s="4" t="s">
        <v>199</v>
      </c>
      <c r="C91" s="4" t="s">
        <v>200</v>
      </c>
      <c r="D91" s="4" t="s">
        <v>200</v>
      </c>
      <c r="E91" s="4" t="s">
        <v>23</v>
      </c>
      <c r="F91" s="5" t="n">
        <v>162570002</v>
      </c>
      <c r="G91" s="5" t="n">
        <v>9050577564</v>
      </c>
      <c r="H91" s="5" t="n">
        <v>4818111</v>
      </c>
      <c r="I91" s="5" t="n">
        <v>167001807</v>
      </c>
      <c r="J91" s="5" t="n">
        <v>9055708478</v>
      </c>
      <c r="K91" s="5" t="n">
        <v>9587504</v>
      </c>
      <c r="L91" s="6" t="n">
        <f aca="false">I91-F91</f>
        <v>4431805</v>
      </c>
      <c r="M91" s="7" t="n">
        <f aca="false">IFERROR((I91-F91)/F91,"")</f>
        <v>0.0272609026602583</v>
      </c>
      <c r="N91" s="6" t="n">
        <f aca="false">J91-G91</f>
        <v>5130914</v>
      </c>
      <c r="O91" s="8" t="n">
        <f aca="false">IFERROR((J91-G91)/G91,"")</f>
        <v>0.000566915643086576</v>
      </c>
      <c r="P91" s="6" t="n">
        <f aca="false">K91-H91</f>
        <v>4769393</v>
      </c>
    </row>
    <row r="92" customFormat="false" ht="15" hidden="false" customHeight="false" outlineLevel="0" collapsed="false">
      <c r="A92" s="9" t="n">
        <v>88</v>
      </c>
      <c r="B92" s="9" t="s">
        <v>201</v>
      </c>
      <c r="C92" s="9" t="s">
        <v>202</v>
      </c>
      <c r="D92" s="9" t="s">
        <v>202</v>
      </c>
      <c r="E92" s="9" t="s">
        <v>23</v>
      </c>
      <c r="F92" s="10" t="n">
        <v>154316880</v>
      </c>
      <c r="G92" s="10" t="n">
        <v>6931080433</v>
      </c>
      <c r="H92" s="10" t="n">
        <v>420200</v>
      </c>
      <c r="I92" s="10" t="n">
        <v>166259569</v>
      </c>
      <c r="J92" s="10" t="n">
        <v>6931080433</v>
      </c>
      <c r="K92" s="10" t="n">
        <v>5255500</v>
      </c>
      <c r="L92" s="11" t="n">
        <f aca="false">I92-F92</f>
        <v>11942689</v>
      </c>
      <c r="M92" s="12" t="n">
        <f aca="false">IFERROR((I92-F92)/F92,"")</f>
        <v>0.0773906846742884</v>
      </c>
      <c r="N92" s="11" t="n">
        <f aca="false">J92-G92</f>
        <v>0</v>
      </c>
      <c r="O92" s="13" t="n">
        <f aca="false">IFERROR((J92-G92)/G92,"")</f>
        <v>0</v>
      </c>
      <c r="P92" s="11" t="n">
        <f aca="false">K92-H92</f>
        <v>4835300</v>
      </c>
    </row>
    <row r="93" customFormat="false" ht="15" hidden="false" customHeight="false" outlineLevel="0" collapsed="false">
      <c r="A93" s="4" t="n">
        <v>89</v>
      </c>
      <c r="B93" s="4" t="s">
        <v>203</v>
      </c>
      <c r="C93" s="4" t="s">
        <v>204</v>
      </c>
      <c r="D93" s="4" t="s">
        <v>204</v>
      </c>
      <c r="E93" s="4" t="s">
        <v>23</v>
      </c>
      <c r="F93" s="5" t="n">
        <v>163706522</v>
      </c>
      <c r="G93" s="5" t="n">
        <v>4000590717</v>
      </c>
      <c r="H93" s="5" t="n">
        <v>20620967</v>
      </c>
      <c r="I93" s="5" t="n">
        <v>165972820</v>
      </c>
      <c r="J93" s="5" t="n">
        <v>4000590717</v>
      </c>
      <c r="K93" s="5" t="n">
        <v>25175443</v>
      </c>
      <c r="L93" s="6" t="n">
        <f aca="false">I93-F93</f>
        <v>2266298</v>
      </c>
      <c r="M93" s="7" t="n">
        <f aca="false">IFERROR((I93-F93)/F93,"")</f>
        <v>0.0138436634796994</v>
      </c>
      <c r="N93" s="6" t="n">
        <f aca="false">J93-G93</f>
        <v>0</v>
      </c>
      <c r="O93" s="8" t="n">
        <f aca="false">IFERROR((J93-G93)/G93,"")</f>
        <v>0</v>
      </c>
      <c r="P93" s="6" t="n">
        <f aca="false">K93-H93</f>
        <v>4554476</v>
      </c>
    </row>
    <row r="94" customFormat="false" ht="15" hidden="false" customHeight="false" outlineLevel="0" collapsed="false">
      <c r="A94" s="9" t="n">
        <v>90</v>
      </c>
      <c r="B94" s="9" t="s">
        <v>205</v>
      </c>
      <c r="C94" s="9" t="s">
        <v>206</v>
      </c>
      <c r="D94" s="9" t="s">
        <v>206</v>
      </c>
      <c r="E94" s="9" t="s">
        <v>23</v>
      </c>
      <c r="F94" s="10" t="n">
        <v>165558793</v>
      </c>
      <c r="G94" s="10" t="n">
        <v>3715351213</v>
      </c>
      <c r="H94" s="10" t="n">
        <v>19319479</v>
      </c>
      <c r="I94" s="10" t="n">
        <v>165749808</v>
      </c>
      <c r="J94" s="10" t="n">
        <v>3715351213</v>
      </c>
      <c r="K94" s="10" t="n">
        <v>20799079</v>
      </c>
      <c r="L94" s="11" t="n">
        <f aca="false">I94-F94</f>
        <v>191015</v>
      </c>
      <c r="M94" s="12" t="n">
        <f aca="false">IFERROR((I94-F94)/F94,"")</f>
        <v>0.00115375931739246</v>
      </c>
      <c r="N94" s="11" t="n">
        <f aca="false">J94-G94</f>
        <v>0</v>
      </c>
      <c r="O94" s="13" t="n">
        <f aca="false">IFERROR((J94-G94)/G94,"")</f>
        <v>0</v>
      </c>
      <c r="P94" s="11" t="n">
        <f aca="false">K94-H94</f>
        <v>1479600</v>
      </c>
    </row>
    <row r="95" customFormat="false" ht="15" hidden="false" customHeight="false" outlineLevel="0" collapsed="false">
      <c r="A95" s="4" t="n">
        <v>91</v>
      </c>
      <c r="B95" s="4" t="s">
        <v>207</v>
      </c>
      <c r="C95" s="4" t="s">
        <v>208</v>
      </c>
      <c r="D95" s="4" t="s">
        <v>208</v>
      </c>
      <c r="E95" s="4" t="s">
        <v>209</v>
      </c>
      <c r="F95" s="5" t="n">
        <v>162600536</v>
      </c>
      <c r="G95" s="5" t="n">
        <v>1400181843</v>
      </c>
      <c r="H95" s="5" t="n">
        <v>10613474</v>
      </c>
      <c r="I95" s="5" t="n">
        <v>165232326</v>
      </c>
      <c r="J95" s="5" t="n">
        <v>1400181843</v>
      </c>
      <c r="K95" s="5" t="n">
        <v>15131374</v>
      </c>
      <c r="L95" s="6" t="n">
        <f aca="false">I95-F95</f>
        <v>2631790</v>
      </c>
      <c r="M95" s="7" t="n">
        <f aca="false">IFERROR((I95-F95)/F95,"")</f>
        <v>0.0161856170019021</v>
      </c>
      <c r="N95" s="6" t="n">
        <f aca="false">J95-G95</f>
        <v>0</v>
      </c>
      <c r="O95" s="8" t="n">
        <f aca="false">IFERROR((J95-G95)/G95,"")</f>
        <v>0</v>
      </c>
      <c r="P95" s="6" t="n">
        <f aca="false">K95-H95</f>
        <v>4517900</v>
      </c>
    </row>
    <row r="96" customFormat="false" ht="15" hidden="false" customHeight="false" outlineLevel="0" collapsed="false">
      <c r="A96" s="9" t="n">
        <v>92</v>
      </c>
      <c r="B96" s="9" t="s">
        <v>210</v>
      </c>
      <c r="C96" s="9" t="s">
        <v>211</v>
      </c>
      <c r="D96" s="9" t="s">
        <v>211</v>
      </c>
      <c r="E96" s="9" t="s">
        <v>23</v>
      </c>
      <c r="F96" s="10" t="n">
        <v>161747886</v>
      </c>
      <c r="G96" s="10" t="n">
        <v>1225099931</v>
      </c>
      <c r="H96" s="10" t="n">
        <v>15075589</v>
      </c>
      <c r="I96" s="10" t="n">
        <v>163722900</v>
      </c>
      <c r="J96" s="10" t="n">
        <v>1225099931</v>
      </c>
      <c r="K96" s="10" t="n">
        <v>19415789</v>
      </c>
      <c r="L96" s="11" t="n">
        <f aca="false">I96-F96</f>
        <v>1975014</v>
      </c>
      <c r="M96" s="12" t="n">
        <f aca="false">IFERROR((I96-F96)/F96,"")</f>
        <v>0.0122104470657502</v>
      </c>
      <c r="N96" s="11" t="n">
        <f aca="false">J96-G96</f>
        <v>0</v>
      </c>
      <c r="O96" s="13" t="n">
        <f aca="false">IFERROR((J96-G96)/G96,"")</f>
        <v>0</v>
      </c>
      <c r="P96" s="11" t="n">
        <f aca="false">K96-H96</f>
        <v>4340200</v>
      </c>
    </row>
    <row r="97" customFormat="false" ht="15" hidden="false" customHeight="false" outlineLevel="0" collapsed="false">
      <c r="A97" s="4" t="n">
        <v>93</v>
      </c>
      <c r="B97" s="4" t="s">
        <v>212</v>
      </c>
      <c r="C97" s="4" t="s">
        <v>213</v>
      </c>
      <c r="D97" s="4" t="s">
        <v>213</v>
      </c>
      <c r="E97" s="4" t="s">
        <v>23</v>
      </c>
      <c r="F97" s="5" t="n">
        <v>161132973</v>
      </c>
      <c r="G97" s="5" t="n">
        <v>885564378</v>
      </c>
      <c r="H97" s="5" t="n">
        <v>45671549</v>
      </c>
      <c r="I97" s="5" t="n">
        <v>162981921</v>
      </c>
      <c r="J97" s="5" t="n">
        <v>885564378</v>
      </c>
      <c r="K97" s="5" t="n">
        <v>50206262</v>
      </c>
      <c r="L97" s="6" t="n">
        <f aca="false">I97-F97</f>
        <v>1848948</v>
      </c>
      <c r="M97" s="7" t="n">
        <f aca="false">IFERROR((I97-F97)/F97,"")</f>
        <v>0.0114746719158468</v>
      </c>
      <c r="N97" s="6" t="n">
        <f aca="false">J97-G97</f>
        <v>0</v>
      </c>
      <c r="O97" s="8" t="n">
        <f aca="false">IFERROR((J97-G97)/G97,"")</f>
        <v>0</v>
      </c>
      <c r="P97" s="6" t="n">
        <f aca="false">K97-H97</f>
        <v>4534713</v>
      </c>
    </row>
    <row r="98" customFormat="false" ht="15" hidden="false" customHeight="false" outlineLevel="0" collapsed="false">
      <c r="A98" s="9" t="n">
        <v>94</v>
      </c>
      <c r="B98" s="9" t="s">
        <v>214</v>
      </c>
      <c r="C98" s="9" t="s">
        <v>215</v>
      </c>
      <c r="D98" s="9" t="s">
        <v>215</v>
      </c>
      <c r="E98" s="9" t="s">
        <v>23</v>
      </c>
      <c r="F98" s="10" t="n">
        <v>159877557</v>
      </c>
      <c r="G98" s="10" t="n">
        <v>3330580980</v>
      </c>
      <c r="H98" s="10" t="n">
        <v>75075090</v>
      </c>
      <c r="I98" s="10" t="n">
        <v>162079394</v>
      </c>
      <c r="J98" s="10" t="n">
        <v>3330580980</v>
      </c>
      <c r="K98" s="10" t="n">
        <v>79654390</v>
      </c>
      <c r="L98" s="11" t="n">
        <f aca="false">I98-F98</f>
        <v>2201837</v>
      </c>
      <c r="M98" s="12" t="n">
        <f aca="false">IFERROR((I98-F98)/F98,"")</f>
        <v>0.0137720205469489</v>
      </c>
      <c r="N98" s="11" t="n">
        <f aca="false">J98-G98</f>
        <v>0</v>
      </c>
      <c r="O98" s="13" t="n">
        <f aca="false">IFERROR((J98-G98)/G98,"")</f>
        <v>0</v>
      </c>
      <c r="P98" s="11" t="n">
        <f aca="false">K98-H98</f>
        <v>4579300</v>
      </c>
    </row>
    <row r="99" customFormat="false" ht="15" hidden="false" customHeight="false" outlineLevel="0" collapsed="false">
      <c r="A99" s="4" t="n">
        <v>95</v>
      </c>
      <c r="B99" s="4" t="s">
        <v>216</v>
      </c>
      <c r="C99" s="4" t="s">
        <v>217</v>
      </c>
      <c r="D99" s="4" t="s">
        <v>217</v>
      </c>
      <c r="E99" s="4" t="s">
        <v>23</v>
      </c>
      <c r="F99" s="5" t="n">
        <v>159621798</v>
      </c>
      <c r="G99" s="5" t="n">
        <v>1993834575</v>
      </c>
      <c r="H99" s="5" t="n">
        <v>13163030</v>
      </c>
      <c r="I99" s="5" t="n">
        <v>161634939</v>
      </c>
      <c r="J99" s="5" t="n">
        <v>1993834575</v>
      </c>
      <c r="K99" s="5" t="n">
        <v>17756833</v>
      </c>
      <c r="L99" s="6" t="n">
        <f aca="false">I99-F99</f>
        <v>2013141</v>
      </c>
      <c r="M99" s="7" t="n">
        <f aca="false">IFERROR((I99-F99)/F99,"")</f>
        <v>0.01261194288765</v>
      </c>
      <c r="N99" s="6" t="n">
        <f aca="false">J99-G99</f>
        <v>0</v>
      </c>
      <c r="O99" s="8" t="n">
        <f aca="false">IFERROR((J99-G99)/G99,"")</f>
        <v>0</v>
      </c>
      <c r="P99" s="6" t="n">
        <f aca="false">K99-H99</f>
        <v>4593803</v>
      </c>
    </row>
    <row r="100" customFormat="false" ht="15" hidden="false" customHeight="false" outlineLevel="0" collapsed="false">
      <c r="A100" s="9" t="n">
        <v>96</v>
      </c>
      <c r="B100" s="9" t="s">
        <v>218</v>
      </c>
      <c r="C100" s="9" t="s">
        <v>219</v>
      </c>
      <c r="D100" s="9" t="s">
        <v>219</v>
      </c>
      <c r="E100" s="9" t="s">
        <v>23</v>
      </c>
      <c r="F100" s="10" t="n">
        <v>132534477</v>
      </c>
      <c r="G100" s="10" t="n">
        <v>3358043081</v>
      </c>
      <c r="H100" s="10" t="n">
        <v>11262281</v>
      </c>
      <c r="I100" s="10" t="n">
        <v>161617910</v>
      </c>
      <c r="J100" s="10" t="n">
        <v>3358043081</v>
      </c>
      <c r="K100" s="10" t="n">
        <v>15490229</v>
      </c>
      <c r="L100" s="11" t="n">
        <f aca="false">I100-F100</f>
        <v>29083433</v>
      </c>
      <c r="M100" s="12" t="n">
        <f aca="false">IFERROR((I100-F100)/F100,"")</f>
        <v>0.219440508298833</v>
      </c>
      <c r="N100" s="11" t="n">
        <f aca="false">J100-G100</f>
        <v>0</v>
      </c>
      <c r="O100" s="13" t="n">
        <f aca="false">IFERROR((J100-G100)/G100,"")</f>
        <v>0</v>
      </c>
      <c r="P100" s="11" t="n">
        <f aca="false">K100-H100</f>
        <v>4227948</v>
      </c>
    </row>
    <row r="101" customFormat="false" ht="15" hidden="false" customHeight="false" outlineLevel="0" collapsed="false">
      <c r="A101" s="4" t="n">
        <v>97</v>
      </c>
      <c r="B101" s="4" t="s">
        <v>220</v>
      </c>
      <c r="C101" s="4" t="s">
        <v>221</v>
      </c>
      <c r="D101" s="4" t="s">
        <v>221</v>
      </c>
      <c r="E101" s="4" t="s">
        <v>23</v>
      </c>
      <c r="F101" s="5" t="n">
        <v>156478147</v>
      </c>
      <c r="G101" s="5" t="n">
        <v>571343743</v>
      </c>
      <c r="H101" s="5" t="n">
        <v>44297601</v>
      </c>
      <c r="I101" s="5" t="n">
        <v>161150291</v>
      </c>
      <c r="J101" s="5" t="n">
        <v>571343743</v>
      </c>
      <c r="K101" s="5" t="n">
        <v>48788420</v>
      </c>
      <c r="L101" s="6" t="n">
        <f aca="false">I101-F101</f>
        <v>4672144</v>
      </c>
      <c r="M101" s="7" t="n">
        <f aca="false">IFERROR((I101-F101)/F101,"")</f>
        <v>0.0298581245341562</v>
      </c>
      <c r="N101" s="6" t="n">
        <f aca="false">J101-G101</f>
        <v>0</v>
      </c>
      <c r="O101" s="8" t="n">
        <f aca="false">IFERROR((J101-G101)/G101,"")</f>
        <v>0</v>
      </c>
      <c r="P101" s="6" t="n">
        <f aca="false">K101-H101</f>
        <v>4490819</v>
      </c>
    </row>
    <row r="102" customFormat="false" ht="15" hidden="false" customHeight="false" outlineLevel="0" collapsed="false">
      <c r="A102" s="9" t="n">
        <v>98</v>
      </c>
      <c r="B102" s="9" t="s">
        <v>222</v>
      </c>
      <c r="C102" s="9" t="s">
        <v>223</v>
      </c>
      <c r="D102" s="9" t="s">
        <v>223</v>
      </c>
      <c r="E102" s="9" t="s">
        <v>23</v>
      </c>
      <c r="F102" s="10" t="n">
        <v>160405815</v>
      </c>
      <c r="G102" s="10" t="n">
        <v>17362061287</v>
      </c>
      <c r="H102" s="10" t="n">
        <v>262600</v>
      </c>
      <c r="I102" s="10" t="n">
        <v>160840427</v>
      </c>
      <c r="J102" s="10" t="n">
        <v>17362061839</v>
      </c>
      <c r="K102" s="10" t="n">
        <v>527000</v>
      </c>
      <c r="L102" s="11" t="n">
        <f aca="false">I102-F102</f>
        <v>434612</v>
      </c>
      <c r="M102" s="12" t="n">
        <f aca="false">IFERROR((I102-F102)/F102,"")</f>
        <v>0.00270945289608111</v>
      </c>
      <c r="N102" s="11" t="n">
        <f aca="false">J102-G102</f>
        <v>552</v>
      </c>
      <c r="O102" s="13" t="n">
        <f aca="false">IFERROR((J102-G102)/G102,"")</f>
        <v>3.17934599397662E-008</v>
      </c>
      <c r="P102" s="11" t="n">
        <f aca="false">K102-H102</f>
        <v>264400</v>
      </c>
    </row>
    <row r="103" customFormat="false" ht="15" hidden="false" customHeight="false" outlineLevel="0" collapsed="false">
      <c r="A103" s="4" t="n">
        <v>99</v>
      </c>
      <c r="B103" s="4" t="s">
        <v>224</v>
      </c>
      <c r="C103" s="4" t="s">
        <v>225</v>
      </c>
      <c r="D103" s="4" t="s">
        <v>225</v>
      </c>
      <c r="E103" s="4" t="s">
        <v>23</v>
      </c>
      <c r="F103" s="5" t="n">
        <v>151256092</v>
      </c>
      <c r="G103" s="5" t="n">
        <v>3019119299</v>
      </c>
      <c r="H103" s="5" t="n">
        <v>13536958</v>
      </c>
      <c r="I103" s="5" t="n">
        <v>160811379</v>
      </c>
      <c r="J103" s="5" t="n">
        <v>3019119299</v>
      </c>
      <c r="K103" s="5" t="n">
        <v>603200</v>
      </c>
      <c r="L103" s="6" t="n">
        <f aca="false">I103-F103</f>
        <v>9555287</v>
      </c>
      <c r="M103" s="7" t="n">
        <f aca="false">IFERROR((I103-F103)/F103,"")</f>
        <v>0.0631729067811695</v>
      </c>
      <c r="N103" s="6" t="n">
        <f aca="false">J103-G103</f>
        <v>0</v>
      </c>
      <c r="O103" s="8" t="n">
        <f aca="false">IFERROR((J103-G103)/G103,"")</f>
        <v>0</v>
      </c>
      <c r="P103" s="15" t="n">
        <f aca="false">K103-H103</f>
        <v>-12933758</v>
      </c>
    </row>
    <row r="104" customFormat="false" ht="15" hidden="false" customHeight="false" outlineLevel="0" collapsed="false">
      <c r="A104" s="9" t="n">
        <v>100</v>
      </c>
      <c r="B104" s="9" t="s">
        <v>226</v>
      </c>
      <c r="C104" s="9" t="s">
        <v>227</v>
      </c>
      <c r="D104" s="9" t="s">
        <v>227</v>
      </c>
      <c r="E104" s="9" t="s">
        <v>23</v>
      </c>
      <c r="F104" s="10" t="n">
        <v>157959489</v>
      </c>
      <c r="G104" s="10" t="n">
        <v>3421473154</v>
      </c>
      <c r="H104" s="10" t="n">
        <v>234123</v>
      </c>
      <c r="I104" s="10" t="n">
        <v>160705410</v>
      </c>
      <c r="J104" s="10" t="n">
        <v>3421473154</v>
      </c>
      <c r="K104" s="10" t="n">
        <v>4821623</v>
      </c>
      <c r="L104" s="11" t="n">
        <f aca="false">I104-F104</f>
        <v>2745921</v>
      </c>
      <c r="M104" s="12" t="n">
        <f aca="false">IFERROR((I104-F104)/F104,"")</f>
        <v>0.0173837039951427</v>
      </c>
      <c r="N104" s="11" t="n">
        <f aca="false">J104-G104</f>
        <v>0</v>
      </c>
      <c r="O104" s="13" t="n">
        <f aca="false">IFERROR((J104-G104)/G104,"")</f>
        <v>0</v>
      </c>
      <c r="P104" s="11" t="n">
        <f aca="false">K104-H104</f>
        <v>4587500</v>
      </c>
    </row>
    <row r="105" customFormat="false" ht="15" hidden="false" customHeight="false" outlineLevel="0" collapsed="false">
      <c r="A105" s="4" t="n">
        <v>101</v>
      </c>
      <c r="B105" s="4" t="s">
        <v>228</v>
      </c>
      <c r="C105" s="4" t="s">
        <v>229</v>
      </c>
      <c r="D105" s="4" t="s">
        <v>229</v>
      </c>
      <c r="E105" s="4" t="s">
        <v>23</v>
      </c>
      <c r="F105" s="5" t="n">
        <v>159126872</v>
      </c>
      <c r="G105" s="5" t="n">
        <v>1374460158</v>
      </c>
      <c r="H105" s="5" t="n">
        <v>12313082</v>
      </c>
      <c r="I105" s="5" t="n">
        <v>160696625</v>
      </c>
      <c r="J105" s="5" t="n">
        <v>1374460158</v>
      </c>
      <c r="K105" s="5" t="n">
        <v>16975082</v>
      </c>
      <c r="L105" s="6" t="n">
        <f aca="false">I105-F105</f>
        <v>1569753</v>
      </c>
      <c r="M105" s="7" t="n">
        <f aca="false">IFERROR((I105-F105)/F105,"")</f>
        <v>0.00986478889624626</v>
      </c>
      <c r="N105" s="6" t="n">
        <f aca="false">J105-G105</f>
        <v>0</v>
      </c>
      <c r="O105" s="8" t="n">
        <f aca="false">IFERROR((J105-G105)/G105,"")</f>
        <v>0</v>
      </c>
      <c r="P105" s="6" t="n">
        <f aca="false">K105-H105</f>
        <v>4662000</v>
      </c>
    </row>
    <row r="106" customFormat="false" ht="15" hidden="false" customHeight="false" outlineLevel="0" collapsed="false">
      <c r="A106" s="9" t="n">
        <v>102</v>
      </c>
      <c r="B106" s="9" t="s">
        <v>230</v>
      </c>
      <c r="C106" s="9" t="s">
        <v>231</v>
      </c>
      <c r="D106" s="9" t="s">
        <v>231</v>
      </c>
      <c r="E106" s="9" t="s">
        <v>23</v>
      </c>
      <c r="F106" s="10" t="n">
        <v>155303815</v>
      </c>
      <c r="G106" s="10" t="n">
        <v>4308868164</v>
      </c>
      <c r="H106" s="10" t="n">
        <v>20937835</v>
      </c>
      <c r="I106" s="10" t="n">
        <v>160128486</v>
      </c>
      <c r="J106" s="10" t="n">
        <v>4308868164</v>
      </c>
      <c r="K106" s="10" t="n">
        <v>25754835</v>
      </c>
      <c r="L106" s="11" t="n">
        <f aca="false">I106-F106</f>
        <v>4824671</v>
      </c>
      <c r="M106" s="12" t="n">
        <f aca="false">IFERROR((I106-F106)/F106,"")</f>
        <v>0.0310660172771673</v>
      </c>
      <c r="N106" s="11" t="n">
        <f aca="false">J106-G106</f>
        <v>0</v>
      </c>
      <c r="O106" s="13" t="n">
        <f aca="false">IFERROR((J106-G106)/G106,"")</f>
        <v>0</v>
      </c>
      <c r="P106" s="11" t="n">
        <f aca="false">K106-H106</f>
        <v>4817000</v>
      </c>
    </row>
    <row r="107" customFormat="false" ht="15" hidden="false" customHeight="false" outlineLevel="0" collapsed="false">
      <c r="A107" s="4" t="n">
        <v>103</v>
      </c>
      <c r="B107" s="4" t="s">
        <v>232</v>
      </c>
      <c r="C107" s="4" t="s">
        <v>233</v>
      </c>
      <c r="D107" s="4" t="s">
        <v>233</v>
      </c>
      <c r="E107" s="4" t="s">
        <v>23</v>
      </c>
      <c r="F107" s="5" t="n">
        <v>157326494</v>
      </c>
      <c r="G107" s="5" t="n">
        <v>4124715749</v>
      </c>
      <c r="H107" s="5" t="n">
        <v>91868584</v>
      </c>
      <c r="I107" s="5" t="n">
        <v>160103505</v>
      </c>
      <c r="J107" s="5" t="n">
        <v>4124715749</v>
      </c>
      <c r="K107" s="5" t="n">
        <v>96785567</v>
      </c>
      <c r="L107" s="6" t="n">
        <f aca="false">I107-F107</f>
        <v>2777011</v>
      </c>
      <c r="M107" s="7" t="n">
        <f aca="false">IFERROR((I107-F107)/F107,"")</f>
        <v>0.0176512609503648</v>
      </c>
      <c r="N107" s="6" t="n">
        <f aca="false">J107-G107</f>
        <v>0</v>
      </c>
      <c r="O107" s="8" t="n">
        <f aca="false">IFERROR((J107-G107)/G107,"")</f>
        <v>0</v>
      </c>
      <c r="P107" s="6" t="n">
        <f aca="false">K107-H107</f>
        <v>4916983</v>
      </c>
    </row>
    <row r="108" customFormat="false" ht="15" hidden="false" customHeight="false" outlineLevel="0" collapsed="false">
      <c r="A108" s="9" t="n">
        <v>104</v>
      </c>
      <c r="B108" s="9" t="s">
        <v>234</v>
      </c>
      <c r="C108" s="9" t="s">
        <v>235</v>
      </c>
      <c r="D108" s="9" t="s">
        <v>235</v>
      </c>
      <c r="E108" s="9" t="s">
        <v>23</v>
      </c>
      <c r="F108" s="10" t="n">
        <v>144695327</v>
      </c>
      <c r="G108" s="10" t="n">
        <v>1207908597</v>
      </c>
      <c r="H108" s="10" t="n">
        <v>61757460</v>
      </c>
      <c r="I108" s="10" t="n">
        <v>158884036</v>
      </c>
      <c r="J108" s="10" t="n">
        <v>1207908597</v>
      </c>
      <c r="K108" s="10" t="n">
        <v>66086960</v>
      </c>
      <c r="L108" s="11" t="n">
        <f aca="false">I108-F108</f>
        <v>14188709</v>
      </c>
      <c r="M108" s="12" t="n">
        <f aca="false">IFERROR((I108-F108)/F108,"")</f>
        <v>0.0980592068463966</v>
      </c>
      <c r="N108" s="11" t="n">
        <f aca="false">J108-G108</f>
        <v>0</v>
      </c>
      <c r="O108" s="13" t="n">
        <f aca="false">IFERROR((J108-G108)/G108,"")</f>
        <v>0</v>
      </c>
      <c r="P108" s="11" t="n">
        <f aca="false">K108-H108</f>
        <v>4329500</v>
      </c>
    </row>
    <row r="109" customFormat="false" ht="15" hidden="false" customHeight="false" outlineLevel="0" collapsed="false">
      <c r="A109" s="4" t="n">
        <v>105</v>
      </c>
      <c r="B109" s="4" t="s">
        <v>236</v>
      </c>
      <c r="C109" s="4" t="s">
        <v>237</v>
      </c>
      <c r="D109" s="4" t="s">
        <v>237</v>
      </c>
      <c r="E109" s="4" t="s">
        <v>23</v>
      </c>
      <c r="F109" s="5" t="n">
        <v>155859465</v>
      </c>
      <c r="G109" s="5" t="n">
        <v>1085922483</v>
      </c>
      <c r="H109" s="5" t="n">
        <v>14561471</v>
      </c>
      <c r="I109" s="5" t="n">
        <v>158739794</v>
      </c>
      <c r="J109" s="5" t="n">
        <v>1085922483</v>
      </c>
      <c r="K109" s="5" t="n">
        <v>19145434</v>
      </c>
      <c r="L109" s="6" t="n">
        <f aca="false">I109-F109</f>
        <v>2880329</v>
      </c>
      <c r="M109" s="7" t="n">
        <f aca="false">IFERROR((I109-F109)/F109,"")</f>
        <v>0.0184802956945861</v>
      </c>
      <c r="N109" s="6" t="n">
        <f aca="false">J109-G109</f>
        <v>0</v>
      </c>
      <c r="O109" s="8" t="n">
        <f aca="false">IFERROR((J109-G109)/G109,"")</f>
        <v>0</v>
      </c>
      <c r="P109" s="6" t="n">
        <f aca="false">K109-H109</f>
        <v>4583963</v>
      </c>
    </row>
    <row r="110" customFormat="false" ht="15" hidden="false" customHeight="false" outlineLevel="0" collapsed="false">
      <c r="A110" s="9" t="n">
        <v>106</v>
      </c>
      <c r="B110" s="9" t="s">
        <v>238</v>
      </c>
      <c r="C110" s="9" t="s">
        <v>239</v>
      </c>
      <c r="D110" s="9" t="s">
        <v>239</v>
      </c>
      <c r="E110" s="9" t="s">
        <v>23</v>
      </c>
      <c r="F110" s="10" t="n">
        <v>151501309</v>
      </c>
      <c r="G110" s="10" t="n">
        <v>477077754</v>
      </c>
      <c r="H110" s="10" t="n">
        <v>47850457</v>
      </c>
      <c r="I110" s="10" t="n">
        <v>157557474</v>
      </c>
      <c r="J110" s="10" t="n">
        <v>477077754</v>
      </c>
      <c r="K110" s="10" t="n">
        <v>52377020</v>
      </c>
      <c r="L110" s="11" t="n">
        <f aca="false">I110-F110</f>
        <v>6056165</v>
      </c>
      <c r="M110" s="12" t="n">
        <f aca="false">IFERROR((I110-F110)/F110,"")</f>
        <v>0.0399743410797857</v>
      </c>
      <c r="N110" s="11" t="n">
        <f aca="false">J110-G110</f>
        <v>0</v>
      </c>
      <c r="O110" s="13" t="n">
        <f aca="false">IFERROR((J110-G110)/G110,"")</f>
        <v>0</v>
      </c>
      <c r="P110" s="11" t="n">
        <f aca="false">K110-H110</f>
        <v>4526563</v>
      </c>
    </row>
    <row r="111" customFormat="false" ht="15" hidden="false" customHeight="false" outlineLevel="0" collapsed="false">
      <c r="A111" s="4" t="n">
        <v>107</v>
      </c>
      <c r="B111" s="4" t="s">
        <v>240</v>
      </c>
      <c r="C111" s="4" t="s">
        <v>241</v>
      </c>
      <c r="D111" s="4" t="s">
        <v>241</v>
      </c>
      <c r="E111" s="4" t="s">
        <v>242</v>
      </c>
      <c r="F111" s="5" t="n">
        <v>153522491</v>
      </c>
      <c r="G111" s="5" t="n">
        <v>3002308450</v>
      </c>
      <c r="H111" s="5" t="n">
        <v>211100</v>
      </c>
      <c r="I111" s="5" t="n">
        <v>157153535</v>
      </c>
      <c r="J111" s="5" t="n">
        <v>3002371367</v>
      </c>
      <c r="K111" s="5" t="n">
        <v>655100</v>
      </c>
      <c r="L111" s="6" t="n">
        <f aca="false">I111-F111</f>
        <v>3631044</v>
      </c>
      <c r="M111" s="7" t="n">
        <f aca="false">IFERROR((I111-F111)/F111,"")</f>
        <v>0.0236515443199785</v>
      </c>
      <c r="N111" s="6" t="n">
        <f aca="false">J111-G111</f>
        <v>62917</v>
      </c>
      <c r="O111" s="8" t="n">
        <f aca="false">IFERROR((J111-G111)/G111,"")</f>
        <v>2.09562078806393E-005</v>
      </c>
      <c r="P111" s="6" t="n">
        <f aca="false">K111-H111</f>
        <v>444000</v>
      </c>
    </row>
    <row r="112" customFormat="false" ht="15" hidden="false" customHeight="false" outlineLevel="0" collapsed="false">
      <c r="A112" s="9" t="n">
        <v>108</v>
      </c>
      <c r="B112" s="9" t="s">
        <v>243</v>
      </c>
      <c r="C112" s="9" t="s">
        <v>244</v>
      </c>
      <c r="D112" s="9" t="s">
        <v>244</v>
      </c>
      <c r="E112" s="9" t="s">
        <v>23</v>
      </c>
      <c r="F112" s="10" t="n">
        <v>156016888</v>
      </c>
      <c r="G112" s="10" t="n">
        <v>3691010717</v>
      </c>
      <c r="H112" s="10" t="n">
        <v>13725461</v>
      </c>
      <c r="I112" s="10" t="n">
        <v>156717219</v>
      </c>
      <c r="J112" s="10" t="n">
        <v>3691010717</v>
      </c>
      <c r="K112" s="10" t="n">
        <v>18210237</v>
      </c>
      <c r="L112" s="11" t="n">
        <f aca="false">I112-F112</f>
        <v>700331</v>
      </c>
      <c r="M112" s="12" t="n">
        <f aca="false">IFERROR((I112-F112)/F112,"")</f>
        <v>0.00448881533901638</v>
      </c>
      <c r="N112" s="11" t="n">
        <f aca="false">J112-G112</f>
        <v>0</v>
      </c>
      <c r="O112" s="13" t="n">
        <f aca="false">IFERROR((J112-G112)/G112,"")</f>
        <v>0</v>
      </c>
      <c r="P112" s="11" t="n">
        <f aca="false">K112-H112</f>
        <v>4484776</v>
      </c>
    </row>
    <row r="113" customFormat="false" ht="15" hidden="false" customHeight="false" outlineLevel="0" collapsed="false">
      <c r="A113" s="4" t="n">
        <v>109</v>
      </c>
      <c r="B113" s="4" t="s">
        <v>245</v>
      </c>
      <c r="C113" s="4" t="s">
        <v>246</v>
      </c>
      <c r="D113" s="4" t="s">
        <v>246</v>
      </c>
      <c r="E113" s="4" t="s">
        <v>23</v>
      </c>
      <c r="F113" s="5" t="n">
        <v>155323059</v>
      </c>
      <c r="G113" s="5" t="n">
        <v>7132285431</v>
      </c>
      <c r="H113" s="5" t="n">
        <v>11063603</v>
      </c>
      <c r="I113" s="5" t="n">
        <v>156480235</v>
      </c>
      <c r="J113" s="5" t="n">
        <v>7132285431</v>
      </c>
      <c r="K113" s="5" t="n">
        <v>15560222</v>
      </c>
      <c r="L113" s="6" t="n">
        <f aca="false">I113-F113</f>
        <v>1157176</v>
      </c>
      <c r="M113" s="7" t="n">
        <f aca="false">IFERROR((I113-F113)/F113,"")</f>
        <v>0.0074501236806056</v>
      </c>
      <c r="N113" s="6" t="n">
        <f aca="false">J113-G113</f>
        <v>0</v>
      </c>
      <c r="O113" s="8" t="n">
        <f aca="false">IFERROR((J113-G113)/G113,"")</f>
        <v>0</v>
      </c>
      <c r="P113" s="6" t="n">
        <f aca="false">K113-H113</f>
        <v>4496619</v>
      </c>
    </row>
    <row r="114" customFormat="false" ht="15" hidden="false" customHeight="false" outlineLevel="0" collapsed="false">
      <c r="A114" s="9" t="n">
        <v>110</v>
      </c>
      <c r="B114" s="9" t="s">
        <v>247</v>
      </c>
      <c r="C114" s="9" t="s">
        <v>248</v>
      </c>
      <c r="D114" s="9" t="s">
        <v>248</v>
      </c>
      <c r="E114" s="9" t="s">
        <v>23</v>
      </c>
      <c r="F114" s="10" t="n">
        <v>155662105</v>
      </c>
      <c r="G114" s="10" t="n">
        <v>6078407139</v>
      </c>
      <c r="H114" s="10" t="n">
        <v>14370819</v>
      </c>
      <c r="I114" s="10" t="n">
        <v>156423165</v>
      </c>
      <c r="J114" s="10" t="n">
        <v>6078407139</v>
      </c>
      <c r="K114" s="10" t="n">
        <v>18589919</v>
      </c>
      <c r="L114" s="11" t="n">
        <f aca="false">I114-F114</f>
        <v>761060</v>
      </c>
      <c r="M114" s="12" t="n">
        <f aca="false">IFERROR((I114-F114)/F114,"")</f>
        <v>0.00488917967542582</v>
      </c>
      <c r="N114" s="11" t="n">
        <f aca="false">J114-G114</f>
        <v>0</v>
      </c>
      <c r="O114" s="13" t="n">
        <f aca="false">IFERROR((J114-G114)/G114,"")</f>
        <v>0</v>
      </c>
      <c r="P114" s="11" t="n">
        <f aca="false">K114-H114</f>
        <v>4219100</v>
      </c>
    </row>
    <row r="115" customFormat="false" ht="15" hidden="false" customHeight="false" outlineLevel="0" collapsed="false">
      <c r="A115" s="4" t="n">
        <v>111</v>
      </c>
      <c r="B115" s="4" t="s">
        <v>249</v>
      </c>
      <c r="C115" s="4" t="s">
        <v>250</v>
      </c>
      <c r="D115" s="4" t="s">
        <v>250</v>
      </c>
      <c r="E115" s="4" t="s">
        <v>23</v>
      </c>
      <c r="F115" s="5" t="n">
        <v>153004093</v>
      </c>
      <c r="G115" s="5" t="n">
        <v>1167891499</v>
      </c>
      <c r="H115" s="5" t="n">
        <v>4525197</v>
      </c>
      <c r="I115" s="5" t="n">
        <v>156249571</v>
      </c>
      <c r="J115" s="5" t="n">
        <v>1167891499</v>
      </c>
      <c r="K115" s="5" t="n">
        <v>8687697</v>
      </c>
      <c r="L115" s="6" t="n">
        <f aca="false">I115-F115</f>
        <v>3245478</v>
      </c>
      <c r="M115" s="7" t="n">
        <f aca="false">IFERROR((I115-F115)/F115,"")</f>
        <v>0.0212117070619804</v>
      </c>
      <c r="N115" s="6" t="n">
        <f aca="false">J115-G115</f>
        <v>0</v>
      </c>
      <c r="O115" s="8" t="n">
        <f aca="false">IFERROR((J115-G115)/G115,"")</f>
        <v>0</v>
      </c>
      <c r="P115" s="6" t="n">
        <f aca="false">K115-H115</f>
        <v>4162500</v>
      </c>
    </row>
    <row r="116" customFormat="false" ht="15" hidden="false" customHeight="false" outlineLevel="0" collapsed="false">
      <c r="A116" s="9" t="n">
        <v>112</v>
      </c>
      <c r="B116" s="9" t="s">
        <v>251</v>
      </c>
      <c r="C116" s="9" t="s">
        <v>252</v>
      </c>
      <c r="D116" s="9" t="s">
        <v>252</v>
      </c>
      <c r="E116" s="9" t="s">
        <v>23</v>
      </c>
      <c r="F116" s="10" t="n">
        <v>147702889</v>
      </c>
      <c r="G116" s="10" t="n">
        <v>2248473995</v>
      </c>
      <c r="H116" s="10" t="n">
        <v>5580738</v>
      </c>
      <c r="I116" s="10" t="n">
        <v>155805677</v>
      </c>
      <c r="J116" s="10" t="n">
        <v>2248473995</v>
      </c>
      <c r="K116" s="10" t="n">
        <v>10083472</v>
      </c>
      <c r="L116" s="11" t="n">
        <f aca="false">I116-F116</f>
        <v>8102788</v>
      </c>
      <c r="M116" s="12" t="n">
        <f aca="false">IFERROR((I116-F116)/F116,"")</f>
        <v>0.0548586967720042</v>
      </c>
      <c r="N116" s="11" t="n">
        <f aca="false">J116-G116</f>
        <v>0</v>
      </c>
      <c r="O116" s="13" t="n">
        <f aca="false">IFERROR((J116-G116)/G116,"")</f>
        <v>0</v>
      </c>
      <c r="P116" s="11" t="n">
        <f aca="false">K116-H116</f>
        <v>4502734</v>
      </c>
    </row>
    <row r="117" customFormat="false" ht="15" hidden="false" customHeight="false" outlineLevel="0" collapsed="false">
      <c r="A117" s="4" t="n">
        <v>113</v>
      </c>
      <c r="B117" s="4" t="s">
        <v>253</v>
      </c>
      <c r="C117" s="4" t="s">
        <v>254</v>
      </c>
      <c r="D117" s="4" t="s">
        <v>254</v>
      </c>
      <c r="E117" s="4" t="s">
        <v>23</v>
      </c>
      <c r="F117" s="5" t="n">
        <v>150255547</v>
      </c>
      <c r="G117" s="5" t="n">
        <v>3120228448</v>
      </c>
      <c r="H117" s="5" t="n">
        <v>46849213</v>
      </c>
      <c r="I117" s="5" t="n">
        <v>155631648</v>
      </c>
      <c r="J117" s="5" t="n">
        <v>3120228448</v>
      </c>
      <c r="K117" s="5" t="n">
        <v>51412713</v>
      </c>
      <c r="L117" s="6" t="n">
        <f aca="false">I117-F117</f>
        <v>5376101</v>
      </c>
      <c r="M117" s="7" t="n">
        <f aca="false">IFERROR((I117-F117)/F117,"")</f>
        <v>0.0357797173371576</v>
      </c>
      <c r="N117" s="6" t="n">
        <f aca="false">J117-G117</f>
        <v>0</v>
      </c>
      <c r="O117" s="8" t="n">
        <f aca="false">IFERROR((J117-G117)/G117,"")</f>
        <v>0</v>
      </c>
      <c r="P117" s="6" t="n">
        <f aca="false">K117-H117</f>
        <v>4563500</v>
      </c>
    </row>
    <row r="118" customFormat="false" ht="15" hidden="false" customHeight="false" outlineLevel="0" collapsed="false">
      <c r="A118" s="9" t="n">
        <v>114</v>
      </c>
      <c r="B118" s="9" t="s">
        <v>255</v>
      </c>
      <c r="C118" s="9" t="s">
        <v>256</v>
      </c>
      <c r="D118" s="9" t="s">
        <v>257</v>
      </c>
      <c r="E118" s="9" t="s">
        <v>23</v>
      </c>
      <c r="F118" s="10" t="n">
        <v>141392908</v>
      </c>
      <c r="G118" s="10" t="n">
        <v>1825910955</v>
      </c>
      <c r="H118" s="10" t="n">
        <v>14068859</v>
      </c>
      <c r="I118" s="10" t="n">
        <v>155418569</v>
      </c>
      <c r="J118" s="10" t="n">
        <v>1825910955</v>
      </c>
      <c r="K118" s="10" t="n">
        <v>18763232</v>
      </c>
      <c r="L118" s="11" t="n">
        <f aca="false">I118-F118</f>
        <v>14025661</v>
      </c>
      <c r="M118" s="12" t="n">
        <f aca="false">IFERROR((I118-F118)/F118,"")</f>
        <v>0.0991963543178559</v>
      </c>
      <c r="N118" s="11" t="n">
        <f aca="false">J118-G118</f>
        <v>0</v>
      </c>
      <c r="O118" s="13" t="n">
        <f aca="false">IFERROR((J118-G118)/G118,"")</f>
        <v>0</v>
      </c>
      <c r="P118" s="11" t="n">
        <f aca="false">K118-H118</f>
        <v>4694373</v>
      </c>
    </row>
    <row r="119" customFormat="false" ht="15" hidden="false" customHeight="false" outlineLevel="0" collapsed="false">
      <c r="A119" s="4" t="n">
        <v>115</v>
      </c>
      <c r="B119" s="4" t="s">
        <v>258</v>
      </c>
      <c r="C119" s="4" t="s">
        <v>259</v>
      </c>
      <c r="D119" s="4" t="s">
        <v>259</v>
      </c>
      <c r="E119" s="4" t="s">
        <v>23</v>
      </c>
      <c r="F119" s="5" t="n">
        <v>152414412</v>
      </c>
      <c r="G119" s="5" t="n">
        <v>1036389488</v>
      </c>
      <c r="H119" s="5" t="n">
        <v>20393816</v>
      </c>
      <c r="I119" s="5" t="n">
        <v>154895453</v>
      </c>
      <c r="J119" s="5" t="n">
        <v>1036389488</v>
      </c>
      <c r="K119" s="5" t="n">
        <v>25038404</v>
      </c>
      <c r="L119" s="6" t="n">
        <f aca="false">I119-F119</f>
        <v>2481041</v>
      </c>
      <c r="M119" s="7" t="n">
        <f aca="false">IFERROR((I119-F119)/F119,"")</f>
        <v>0.0162782572031312</v>
      </c>
      <c r="N119" s="6" t="n">
        <f aca="false">J119-G119</f>
        <v>0</v>
      </c>
      <c r="O119" s="8" t="n">
        <f aca="false">IFERROR((J119-G119)/G119,"")</f>
        <v>0</v>
      </c>
      <c r="P119" s="6" t="n">
        <f aca="false">K119-H119</f>
        <v>4644588</v>
      </c>
    </row>
    <row r="120" customFormat="false" ht="15" hidden="false" customHeight="false" outlineLevel="0" collapsed="false">
      <c r="A120" s="9" t="n">
        <v>116</v>
      </c>
      <c r="B120" s="9" t="s">
        <v>260</v>
      </c>
      <c r="C120" s="9" t="s">
        <v>261</v>
      </c>
      <c r="D120" s="9" t="s">
        <v>261</v>
      </c>
      <c r="E120" s="9" t="s">
        <v>23</v>
      </c>
      <c r="F120" s="10" t="n">
        <v>153526476</v>
      </c>
      <c r="G120" s="10" t="n">
        <v>2298855720</v>
      </c>
      <c r="H120" s="10" t="n">
        <v>1015700</v>
      </c>
      <c r="I120" s="10" t="n">
        <v>154860416</v>
      </c>
      <c r="J120" s="10" t="n">
        <v>2298855720</v>
      </c>
      <c r="K120" s="10" t="n">
        <v>5280500</v>
      </c>
      <c r="L120" s="11" t="n">
        <f aca="false">I120-F120</f>
        <v>1333940</v>
      </c>
      <c r="M120" s="12" t="n">
        <f aca="false">IFERROR((I120-F120)/F120,"")</f>
        <v>0.00868866422753037</v>
      </c>
      <c r="N120" s="11" t="n">
        <f aca="false">J120-G120</f>
        <v>0</v>
      </c>
      <c r="O120" s="13" t="n">
        <f aca="false">IFERROR((J120-G120)/G120,"")</f>
        <v>0</v>
      </c>
      <c r="P120" s="11" t="n">
        <f aca="false">K120-H120</f>
        <v>4264800</v>
      </c>
    </row>
    <row r="121" customFormat="false" ht="15" hidden="false" customHeight="false" outlineLevel="0" collapsed="false">
      <c r="A121" s="4" t="n">
        <v>117</v>
      </c>
      <c r="B121" s="4" t="s">
        <v>262</v>
      </c>
      <c r="C121" s="4" t="s">
        <v>263</v>
      </c>
      <c r="D121" s="4" t="s">
        <v>263</v>
      </c>
      <c r="E121" s="4" t="s">
        <v>264</v>
      </c>
      <c r="F121" s="5" t="n">
        <v>150126693</v>
      </c>
      <c r="G121" s="5" t="n">
        <v>791531858</v>
      </c>
      <c r="H121" s="5" t="n">
        <v>55144124</v>
      </c>
      <c r="I121" s="5" t="n">
        <v>154086161</v>
      </c>
      <c r="J121" s="5" t="n">
        <v>791531858</v>
      </c>
      <c r="K121" s="5" t="n">
        <v>72700</v>
      </c>
      <c r="L121" s="6" t="n">
        <f aca="false">I121-F121</f>
        <v>3959468</v>
      </c>
      <c r="M121" s="7" t="n">
        <f aca="false">IFERROR((I121-F121)/F121,"")</f>
        <v>0.0263741771758071</v>
      </c>
      <c r="N121" s="6" t="n">
        <f aca="false">J121-G121</f>
        <v>0</v>
      </c>
      <c r="O121" s="8" t="n">
        <f aca="false">IFERROR((J121-G121)/G121,"")</f>
        <v>0</v>
      </c>
      <c r="P121" s="15" t="n">
        <f aca="false">K121-H121</f>
        <v>-55071424</v>
      </c>
    </row>
    <row r="122" customFormat="false" ht="15" hidden="false" customHeight="false" outlineLevel="0" collapsed="false">
      <c r="A122" s="9" t="n">
        <v>118</v>
      </c>
      <c r="B122" s="9" t="s">
        <v>265</v>
      </c>
      <c r="C122" s="9" t="s">
        <v>266</v>
      </c>
      <c r="D122" s="9" t="s">
        <v>266</v>
      </c>
      <c r="E122" s="9" t="s">
        <v>23</v>
      </c>
      <c r="F122" s="10" t="n">
        <v>153676388</v>
      </c>
      <c r="G122" s="10" t="n">
        <v>1396664266</v>
      </c>
      <c r="H122" s="10" t="n">
        <v>14634780</v>
      </c>
      <c r="I122" s="10" t="n">
        <v>154019631</v>
      </c>
      <c r="J122" s="10" t="n">
        <v>1396664266</v>
      </c>
      <c r="K122" s="10" t="n">
        <v>19159280</v>
      </c>
      <c r="L122" s="11" t="n">
        <f aca="false">I122-F122</f>
        <v>343243</v>
      </c>
      <c r="M122" s="12" t="n">
        <f aca="false">IFERROR((I122-F122)/F122,"")</f>
        <v>0.00223354416685015</v>
      </c>
      <c r="N122" s="11" t="n">
        <f aca="false">J122-G122</f>
        <v>0</v>
      </c>
      <c r="O122" s="13" t="n">
        <f aca="false">IFERROR((J122-G122)/G122,"")</f>
        <v>0</v>
      </c>
      <c r="P122" s="11" t="n">
        <f aca="false">K122-H122</f>
        <v>4524500</v>
      </c>
    </row>
    <row r="123" customFormat="false" ht="15" hidden="false" customHeight="false" outlineLevel="0" collapsed="false">
      <c r="A123" s="4" t="n">
        <v>119</v>
      </c>
      <c r="B123" s="4" t="s">
        <v>267</v>
      </c>
      <c r="C123" s="4" t="s">
        <v>268</v>
      </c>
      <c r="D123" s="4" t="s">
        <v>268</v>
      </c>
      <c r="E123" s="4" t="s">
        <v>23</v>
      </c>
      <c r="F123" s="5" t="n">
        <v>151552902</v>
      </c>
      <c r="G123" s="5" t="n">
        <v>1757101216</v>
      </c>
      <c r="H123" s="5" t="n">
        <v>58062479</v>
      </c>
      <c r="I123" s="5" t="n">
        <v>153906190</v>
      </c>
      <c r="J123" s="5" t="n">
        <v>1757101216</v>
      </c>
      <c r="K123" s="5" t="n">
        <v>62747079</v>
      </c>
      <c r="L123" s="6" t="n">
        <f aca="false">I123-F123</f>
        <v>2353288</v>
      </c>
      <c r="M123" s="7" t="n">
        <f aca="false">IFERROR((I123-F123)/F123,"")</f>
        <v>0.0155278319909704</v>
      </c>
      <c r="N123" s="6" t="n">
        <f aca="false">J123-G123</f>
        <v>0</v>
      </c>
      <c r="O123" s="8" t="n">
        <f aca="false">IFERROR((J123-G123)/G123,"")</f>
        <v>0</v>
      </c>
      <c r="P123" s="6" t="n">
        <f aca="false">K123-H123</f>
        <v>4684600</v>
      </c>
    </row>
    <row r="124" customFormat="false" ht="15" hidden="false" customHeight="false" outlineLevel="0" collapsed="false">
      <c r="A124" s="9" t="n">
        <v>120</v>
      </c>
      <c r="B124" s="9" t="s">
        <v>269</v>
      </c>
      <c r="C124" s="9" t="s">
        <v>270</v>
      </c>
      <c r="D124" s="9" t="s">
        <v>270</v>
      </c>
      <c r="E124" s="9" t="s">
        <v>23</v>
      </c>
      <c r="F124" s="10" t="n">
        <v>150598313</v>
      </c>
      <c r="G124" s="10" t="n">
        <v>1538715579</v>
      </c>
      <c r="H124" s="10" t="n">
        <v>13540308</v>
      </c>
      <c r="I124" s="10" t="n">
        <v>153633282</v>
      </c>
      <c r="J124" s="10" t="n">
        <v>1538715579</v>
      </c>
      <c r="K124" s="10" t="n">
        <v>18339937</v>
      </c>
      <c r="L124" s="11" t="n">
        <f aca="false">I124-F124</f>
        <v>3034969</v>
      </c>
      <c r="M124" s="12" t="n">
        <f aca="false">IFERROR((I124-F124)/F124,"")</f>
        <v>0.0201527423484485</v>
      </c>
      <c r="N124" s="11" t="n">
        <f aca="false">J124-G124</f>
        <v>0</v>
      </c>
      <c r="O124" s="13" t="n">
        <f aca="false">IFERROR((J124-G124)/G124,"")</f>
        <v>0</v>
      </c>
      <c r="P124" s="11" t="n">
        <f aca="false">K124-H124</f>
        <v>4799629</v>
      </c>
    </row>
    <row r="125" customFormat="false" ht="15" hidden="false" customHeight="false" outlineLevel="0" collapsed="false">
      <c r="A125" s="4" t="n">
        <v>121</v>
      </c>
      <c r="B125" s="4" t="s">
        <v>271</v>
      </c>
      <c r="C125" s="4" t="s">
        <v>272</v>
      </c>
      <c r="D125" s="4" t="s">
        <v>272</v>
      </c>
      <c r="E125" s="4" t="s">
        <v>23</v>
      </c>
      <c r="F125" s="5" t="n">
        <v>151385752</v>
      </c>
      <c r="G125" s="5" t="n">
        <v>5433829362</v>
      </c>
      <c r="H125" s="5" t="n">
        <v>31462492</v>
      </c>
      <c r="I125" s="5" t="n">
        <v>153204047</v>
      </c>
      <c r="J125" s="5" t="n">
        <v>5433829362</v>
      </c>
      <c r="K125" s="5" t="n">
        <v>35911676</v>
      </c>
      <c r="L125" s="6" t="n">
        <f aca="false">I125-F125</f>
        <v>1818295</v>
      </c>
      <c r="M125" s="7" t="n">
        <f aca="false">IFERROR((I125-F125)/F125,"")</f>
        <v>0.0120110048401385</v>
      </c>
      <c r="N125" s="6" t="n">
        <f aca="false">J125-G125</f>
        <v>0</v>
      </c>
      <c r="O125" s="8" t="n">
        <f aca="false">IFERROR((J125-G125)/G125,"")</f>
        <v>0</v>
      </c>
      <c r="P125" s="6" t="n">
        <f aca="false">K125-H125</f>
        <v>4449184</v>
      </c>
    </row>
    <row r="126" customFormat="false" ht="15" hidden="false" customHeight="false" outlineLevel="0" collapsed="false">
      <c r="A126" s="9" t="n">
        <v>122</v>
      </c>
      <c r="B126" s="9" t="s">
        <v>273</v>
      </c>
      <c r="C126" s="9" t="s">
        <v>274</v>
      </c>
      <c r="D126" s="9" t="s">
        <v>274</v>
      </c>
      <c r="E126" s="9" t="s">
        <v>23</v>
      </c>
      <c r="F126" s="10" t="n">
        <v>149589539</v>
      </c>
      <c r="G126" s="10" t="n">
        <v>7179863646</v>
      </c>
      <c r="H126" s="10" t="n">
        <v>15309690</v>
      </c>
      <c r="I126" s="10" t="n">
        <v>152977134</v>
      </c>
      <c r="J126" s="10" t="n">
        <v>7179863646</v>
      </c>
      <c r="K126" s="10" t="n">
        <v>19843249</v>
      </c>
      <c r="L126" s="11" t="n">
        <f aca="false">I126-F126</f>
        <v>3387595</v>
      </c>
      <c r="M126" s="12" t="n">
        <f aca="false">IFERROR((I126-F126)/F126,"")</f>
        <v>0.0226459351545966</v>
      </c>
      <c r="N126" s="11" t="n">
        <f aca="false">J126-G126</f>
        <v>0</v>
      </c>
      <c r="O126" s="13" t="n">
        <f aca="false">IFERROR((J126-G126)/G126,"")</f>
        <v>0</v>
      </c>
      <c r="P126" s="11" t="n">
        <f aca="false">K126-H126</f>
        <v>4533559</v>
      </c>
    </row>
    <row r="127" customFormat="false" ht="15" hidden="false" customHeight="false" outlineLevel="0" collapsed="false">
      <c r="A127" s="4" t="n">
        <v>123</v>
      </c>
      <c r="B127" s="4" t="s">
        <v>275</v>
      </c>
      <c r="C127" s="4" t="s">
        <v>276</v>
      </c>
      <c r="D127" s="4" t="s">
        <v>276</v>
      </c>
      <c r="E127" s="4" t="s">
        <v>23</v>
      </c>
      <c r="F127" s="5" t="n">
        <v>152126305</v>
      </c>
      <c r="G127" s="5" t="n">
        <v>3001347355</v>
      </c>
      <c r="H127" s="5" t="n">
        <v>362200</v>
      </c>
      <c r="I127" s="5" t="n">
        <v>151158165</v>
      </c>
      <c r="J127" s="5" t="n">
        <v>3001347355</v>
      </c>
      <c r="K127" s="5" t="n">
        <v>579500</v>
      </c>
      <c r="L127" s="15" t="n">
        <f aca="false">I127-F127</f>
        <v>-968140</v>
      </c>
      <c r="M127" s="16" t="n">
        <f aca="false">IFERROR((I127-F127)/F127,"")</f>
        <v>-0.00636405386957897</v>
      </c>
      <c r="N127" s="6" t="n">
        <f aca="false">J127-G127</f>
        <v>0</v>
      </c>
      <c r="O127" s="8" t="n">
        <f aca="false">IFERROR((J127-G127)/G127,"")</f>
        <v>0</v>
      </c>
      <c r="P127" s="6" t="n">
        <f aca="false">K127-H127</f>
        <v>217300</v>
      </c>
    </row>
    <row r="128" customFormat="false" ht="15" hidden="false" customHeight="false" outlineLevel="0" collapsed="false">
      <c r="A128" s="9" t="n">
        <v>124</v>
      </c>
      <c r="B128" s="9" t="s">
        <v>277</v>
      </c>
      <c r="C128" s="9" t="s">
        <v>278</v>
      </c>
      <c r="D128" s="9" t="s">
        <v>278</v>
      </c>
      <c r="E128" s="9" t="s">
        <v>23</v>
      </c>
      <c r="F128" s="10" t="n">
        <v>149021725</v>
      </c>
      <c r="G128" s="10" t="n">
        <v>1897060853</v>
      </c>
      <c r="H128" s="10" t="n">
        <v>21701968</v>
      </c>
      <c r="I128" s="10" t="n">
        <v>152001394</v>
      </c>
      <c r="J128" s="10" t="n">
        <v>1897060853</v>
      </c>
      <c r="K128" s="10" t="n">
        <v>26225968</v>
      </c>
      <c r="L128" s="11" t="n">
        <f aca="false">I128-F128</f>
        <v>2979669</v>
      </c>
      <c r="M128" s="12" t="n">
        <f aca="false">IFERROR((I128-F128)/F128,"")</f>
        <v>0.0199948631650855</v>
      </c>
      <c r="N128" s="11" t="n">
        <f aca="false">J128-G128</f>
        <v>0</v>
      </c>
      <c r="O128" s="13" t="n">
        <f aca="false">IFERROR((J128-G128)/G128,"")</f>
        <v>0</v>
      </c>
      <c r="P128" s="11" t="n">
        <f aca="false">K128-H128</f>
        <v>4524000</v>
      </c>
    </row>
    <row r="129" customFormat="false" ht="15" hidden="false" customHeight="false" outlineLevel="0" collapsed="false">
      <c r="A129" s="4" t="n">
        <v>125</v>
      </c>
      <c r="B129" s="4" t="s">
        <v>279</v>
      </c>
      <c r="C129" s="4" t="s">
        <v>280</v>
      </c>
      <c r="D129" s="4" t="s">
        <v>280</v>
      </c>
      <c r="E129" s="4" t="s">
        <v>23</v>
      </c>
      <c r="F129" s="5" t="n">
        <v>151309947</v>
      </c>
      <c r="G129" s="5" t="n">
        <v>1847713961</v>
      </c>
      <c r="H129" s="5" t="n">
        <v>11972816</v>
      </c>
      <c r="I129" s="5" t="n">
        <v>151469922</v>
      </c>
      <c r="J129" s="5" t="n">
        <v>1847713961</v>
      </c>
      <c r="K129" s="5" t="n">
        <v>15959016</v>
      </c>
      <c r="L129" s="6" t="n">
        <f aca="false">I129-F129</f>
        <v>159975</v>
      </c>
      <c r="M129" s="7" t="n">
        <f aca="false">IFERROR((I129-F129)/F129,"")</f>
        <v>0.00105726690922706</v>
      </c>
      <c r="N129" s="6" t="n">
        <f aca="false">J129-G129</f>
        <v>0</v>
      </c>
      <c r="O129" s="8" t="n">
        <f aca="false">IFERROR((J129-G129)/G129,"")</f>
        <v>0</v>
      </c>
      <c r="P129" s="6" t="n">
        <f aca="false">K129-H129</f>
        <v>3986200</v>
      </c>
    </row>
    <row r="130" customFormat="false" ht="15" hidden="false" customHeight="false" outlineLevel="0" collapsed="false">
      <c r="A130" s="9" t="n">
        <v>126</v>
      </c>
      <c r="B130" s="9" t="s">
        <v>281</v>
      </c>
      <c r="C130" s="9" t="s">
        <v>282</v>
      </c>
      <c r="D130" s="9" t="s">
        <v>282</v>
      </c>
      <c r="E130" s="9" t="s">
        <v>23</v>
      </c>
      <c r="F130" s="10" t="n">
        <v>143797540</v>
      </c>
      <c r="G130" s="10" t="n">
        <v>1741572627</v>
      </c>
      <c r="H130" s="10" t="n">
        <v>4772016</v>
      </c>
      <c r="I130" s="10" t="n">
        <v>151377107</v>
      </c>
      <c r="J130" s="10" t="n">
        <v>1741572627</v>
      </c>
      <c r="K130" s="10" t="n">
        <v>9182531</v>
      </c>
      <c r="L130" s="11" t="n">
        <f aca="false">I130-F130</f>
        <v>7579567</v>
      </c>
      <c r="M130" s="12" t="n">
        <f aca="false">IFERROR((I130-F130)/F130,"")</f>
        <v>0.0527099907272405</v>
      </c>
      <c r="N130" s="11" t="n">
        <f aca="false">J130-G130</f>
        <v>0</v>
      </c>
      <c r="O130" s="13" t="n">
        <f aca="false">IFERROR((J130-G130)/G130,"")</f>
        <v>0</v>
      </c>
      <c r="P130" s="11" t="n">
        <f aca="false">K130-H130</f>
        <v>4410515</v>
      </c>
    </row>
    <row r="131" customFormat="false" ht="15" hidden="false" customHeight="false" outlineLevel="0" collapsed="false">
      <c r="A131" s="4" t="n">
        <v>127</v>
      </c>
      <c r="B131" s="4" t="s">
        <v>283</v>
      </c>
      <c r="C131" s="4" t="s">
        <v>284</v>
      </c>
      <c r="D131" s="4" t="s">
        <v>284</v>
      </c>
      <c r="E131" s="4" t="s">
        <v>264</v>
      </c>
      <c r="F131" s="5" t="n">
        <v>147884901</v>
      </c>
      <c r="G131" s="5" t="n">
        <v>3314371634</v>
      </c>
      <c r="H131" s="5" t="n">
        <v>39494346</v>
      </c>
      <c r="I131" s="5" t="n">
        <v>151306226</v>
      </c>
      <c r="J131" s="5" t="n">
        <v>3314371634</v>
      </c>
      <c r="K131" s="5" t="n">
        <v>449000</v>
      </c>
      <c r="L131" s="6" t="n">
        <f aca="false">I131-F131</f>
        <v>3421325</v>
      </c>
      <c r="M131" s="7" t="n">
        <f aca="false">IFERROR((I131-F131)/F131,"")</f>
        <v>0.0231350528476197</v>
      </c>
      <c r="N131" s="6" t="n">
        <f aca="false">J131-G131</f>
        <v>0</v>
      </c>
      <c r="O131" s="8" t="n">
        <f aca="false">IFERROR((J131-G131)/G131,"")</f>
        <v>0</v>
      </c>
      <c r="P131" s="15" t="n">
        <f aca="false">K131-H131</f>
        <v>-39045346</v>
      </c>
    </row>
    <row r="132" customFormat="false" ht="15" hidden="false" customHeight="false" outlineLevel="0" collapsed="false">
      <c r="A132" s="9" t="n">
        <v>128</v>
      </c>
      <c r="B132" s="9" t="s">
        <v>285</v>
      </c>
      <c r="C132" s="9" t="s">
        <v>286</v>
      </c>
      <c r="D132" s="9" t="s">
        <v>286</v>
      </c>
      <c r="E132" s="9" t="s">
        <v>23</v>
      </c>
      <c r="F132" s="10" t="n">
        <v>146811006</v>
      </c>
      <c r="G132" s="10" t="n">
        <v>1417118209</v>
      </c>
      <c r="H132" s="10" t="n">
        <v>89671263</v>
      </c>
      <c r="I132" s="10" t="n">
        <v>151128811</v>
      </c>
      <c r="J132" s="10" t="n">
        <v>1417118209</v>
      </c>
      <c r="K132" s="10" t="n">
        <v>94154416</v>
      </c>
      <c r="L132" s="11" t="n">
        <f aca="false">I132-F132</f>
        <v>4317805</v>
      </c>
      <c r="M132" s="12" t="n">
        <f aca="false">IFERROR((I132-F132)/F132,"")</f>
        <v>0.0294106356031645</v>
      </c>
      <c r="N132" s="11" t="n">
        <f aca="false">J132-G132</f>
        <v>0</v>
      </c>
      <c r="O132" s="13" t="n">
        <f aca="false">IFERROR((J132-G132)/G132,"")</f>
        <v>0</v>
      </c>
      <c r="P132" s="11" t="n">
        <f aca="false">K132-H132</f>
        <v>4483153</v>
      </c>
    </row>
    <row r="133" customFormat="false" ht="15" hidden="false" customHeight="false" outlineLevel="0" collapsed="false">
      <c r="A133" s="4" t="n">
        <v>129</v>
      </c>
      <c r="B133" s="4" t="s">
        <v>287</v>
      </c>
      <c r="C133" s="4" t="s">
        <v>288</v>
      </c>
      <c r="D133" s="4" t="s">
        <v>288</v>
      </c>
      <c r="E133" s="4" t="s">
        <v>23</v>
      </c>
      <c r="F133" s="5" t="n">
        <v>149036962</v>
      </c>
      <c r="G133" s="5" t="n">
        <v>984626000</v>
      </c>
      <c r="H133" s="5" t="n">
        <v>16052540</v>
      </c>
      <c r="I133" s="5" t="n">
        <v>150948137</v>
      </c>
      <c r="J133" s="5" t="n">
        <v>984626000</v>
      </c>
      <c r="K133" s="5" t="n">
        <v>20100140</v>
      </c>
      <c r="L133" s="6" t="n">
        <f aca="false">I133-F133</f>
        <v>1911175</v>
      </c>
      <c r="M133" s="7" t="n">
        <f aca="false">IFERROR((I133-F133)/F133,"")</f>
        <v>0.012823496764514</v>
      </c>
      <c r="N133" s="6" t="n">
        <f aca="false">J133-G133</f>
        <v>0</v>
      </c>
      <c r="O133" s="8" t="n">
        <f aca="false">IFERROR((J133-G133)/G133,"")</f>
        <v>0</v>
      </c>
      <c r="P133" s="6" t="n">
        <f aca="false">K133-H133</f>
        <v>4047600</v>
      </c>
    </row>
    <row r="134" customFormat="false" ht="15" hidden="false" customHeight="false" outlineLevel="0" collapsed="false">
      <c r="A134" s="9" t="n">
        <v>130</v>
      </c>
      <c r="B134" s="9" t="s">
        <v>289</v>
      </c>
      <c r="C134" s="9" t="s">
        <v>290</v>
      </c>
      <c r="D134" s="9" t="s">
        <v>290</v>
      </c>
      <c r="E134" s="9" t="s">
        <v>23</v>
      </c>
      <c r="F134" s="10" t="n">
        <v>146264100</v>
      </c>
      <c r="G134" s="10" t="n">
        <v>1443300830</v>
      </c>
      <c r="H134" s="10" t="n">
        <v>10447300</v>
      </c>
      <c r="I134" s="10" t="n">
        <v>150544654</v>
      </c>
      <c r="J134" s="10" t="n">
        <v>1443300830</v>
      </c>
      <c r="K134" s="10" t="n">
        <v>14851030</v>
      </c>
      <c r="L134" s="11" t="n">
        <f aca="false">I134-F134</f>
        <v>4280554</v>
      </c>
      <c r="M134" s="12" t="n">
        <f aca="false">IFERROR((I134-F134)/F134,"")</f>
        <v>0.0292659237639311</v>
      </c>
      <c r="N134" s="11" t="n">
        <f aca="false">J134-G134</f>
        <v>0</v>
      </c>
      <c r="O134" s="13" t="n">
        <f aca="false">IFERROR((J134-G134)/G134,"")</f>
        <v>0</v>
      </c>
      <c r="P134" s="11" t="n">
        <f aca="false">K134-H134</f>
        <v>4403730</v>
      </c>
    </row>
    <row r="135" customFormat="false" ht="15" hidden="false" customHeight="false" outlineLevel="0" collapsed="false">
      <c r="A135" s="4" t="n">
        <v>131</v>
      </c>
      <c r="B135" s="4" t="s">
        <v>291</v>
      </c>
      <c r="C135" s="4" t="s">
        <v>292</v>
      </c>
      <c r="D135" s="4" t="s">
        <v>292</v>
      </c>
      <c r="E135" s="4" t="s">
        <v>23</v>
      </c>
      <c r="F135" s="5" t="n">
        <v>137252452</v>
      </c>
      <c r="G135" s="5" t="n">
        <v>1169348935</v>
      </c>
      <c r="H135" s="5" t="n">
        <v>10493287</v>
      </c>
      <c r="I135" s="5" t="n">
        <v>150419811</v>
      </c>
      <c r="J135" s="5" t="n">
        <v>1169348935</v>
      </c>
      <c r="K135" s="5" t="n">
        <v>15073487</v>
      </c>
      <c r="L135" s="6" t="n">
        <f aca="false">I135-F135</f>
        <v>13167359</v>
      </c>
      <c r="M135" s="7" t="n">
        <f aca="false">IFERROR((I135-F135)/F135,"")</f>
        <v>0.0959353279896231</v>
      </c>
      <c r="N135" s="6" t="n">
        <f aca="false">J135-G135</f>
        <v>0</v>
      </c>
      <c r="O135" s="8" t="n">
        <f aca="false">IFERROR((J135-G135)/G135,"")</f>
        <v>0</v>
      </c>
      <c r="P135" s="6" t="n">
        <f aca="false">K135-H135</f>
        <v>4580200</v>
      </c>
    </row>
    <row r="136" customFormat="false" ht="15" hidden="false" customHeight="false" outlineLevel="0" collapsed="false">
      <c r="A136" s="9" t="n">
        <v>132</v>
      </c>
      <c r="B136" s="9" t="s">
        <v>293</v>
      </c>
      <c r="C136" s="9" t="s">
        <v>294</v>
      </c>
      <c r="D136" s="9" t="s">
        <v>294</v>
      </c>
      <c r="E136" s="9" t="s">
        <v>23</v>
      </c>
      <c r="F136" s="10" t="n">
        <v>134458468</v>
      </c>
      <c r="G136" s="10" t="n">
        <v>1878170508</v>
      </c>
      <c r="H136" s="10" t="n">
        <v>86822883</v>
      </c>
      <c r="I136" s="10" t="n">
        <v>150410323</v>
      </c>
      <c r="J136" s="10" t="n">
        <v>1878170508</v>
      </c>
      <c r="K136" s="10" t="n">
        <v>91309397</v>
      </c>
      <c r="L136" s="11" t="n">
        <f aca="false">I136-F136</f>
        <v>15951855</v>
      </c>
      <c r="M136" s="12" t="n">
        <f aca="false">IFERROR((I136-F136)/F136,"")</f>
        <v>0.118637786353478</v>
      </c>
      <c r="N136" s="11" t="n">
        <f aca="false">J136-G136</f>
        <v>0</v>
      </c>
      <c r="O136" s="13" t="n">
        <f aca="false">IFERROR((J136-G136)/G136,"")</f>
        <v>0</v>
      </c>
      <c r="P136" s="11" t="n">
        <f aca="false">K136-H136</f>
        <v>4486514</v>
      </c>
    </row>
    <row r="137" customFormat="false" ht="15" hidden="false" customHeight="false" outlineLevel="0" collapsed="false">
      <c r="A137" s="4" t="n">
        <v>133</v>
      </c>
      <c r="B137" s="4" t="s">
        <v>295</v>
      </c>
      <c r="C137" s="4" t="s">
        <v>296</v>
      </c>
      <c r="D137" s="4" t="s">
        <v>296</v>
      </c>
      <c r="E137" s="4" t="s">
        <v>23</v>
      </c>
      <c r="F137" s="5" t="n">
        <v>139401189</v>
      </c>
      <c r="G137" s="5" t="n">
        <v>4854227988</v>
      </c>
      <c r="H137" s="5" t="n">
        <v>3718160</v>
      </c>
      <c r="I137" s="5" t="n">
        <v>150357365</v>
      </c>
      <c r="J137" s="5" t="n">
        <v>4854227988</v>
      </c>
      <c r="K137" s="5" t="n">
        <v>674600</v>
      </c>
      <c r="L137" s="6" t="n">
        <f aca="false">I137-F137</f>
        <v>10956176</v>
      </c>
      <c r="M137" s="7" t="n">
        <f aca="false">IFERROR((I137-F137)/F137,"")</f>
        <v>0.0785945663634189</v>
      </c>
      <c r="N137" s="6" t="n">
        <f aca="false">J137-G137</f>
        <v>0</v>
      </c>
      <c r="O137" s="8" t="n">
        <f aca="false">IFERROR((J137-G137)/G137,"")</f>
        <v>0</v>
      </c>
      <c r="P137" s="15" t="n">
        <f aca="false">K137-H137</f>
        <v>-3043560</v>
      </c>
    </row>
    <row r="138" customFormat="false" ht="15" hidden="false" customHeight="false" outlineLevel="0" collapsed="false">
      <c r="A138" s="9" t="n">
        <v>134</v>
      </c>
      <c r="B138" s="9" t="s">
        <v>297</v>
      </c>
      <c r="C138" s="9" t="s">
        <v>298</v>
      </c>
      <c r="D138" s="9" t="s">
        <v>298</v>
      </c>
      <c r="E138" s="9" t="s">
        <v>23</v>
      </c>
      <c r="F138" s="10" t="n">
        <v>147927975</v>
      </c>
      <c r="G138" s="10" t="n">
        <v>4038284032</v>
      </c>
      <c r="H138" s="10" t="n">
        <v>240600</v>
      </c>
      <c r="I138" s="10" t="n">
        <v>150251336</v>
      </c>
      <c r="J138" s="10" t="n">
        <v>4038284032</v>
      </c>
      <c r="K138" s="10" t="n">
        <v>4681866</v>
      </c>
      <c r="L138" s="11" t="n">
        <f aca="false">I138-F138</f>
        <v>2323361</v>
      </c>
      <c r="M138" s="12" t="n">
        <f aca="false">IFERROR((I138-F138)/F138,"")</f>
        <v>0.0157060285588307</v>
      </c>
      <c r="N138" s="11" t="n">
        <f aca="false">J138-G138</f>
        <v>0</v>
      </c>
      <c r="O138" s="13" t="n">
        <f aca="false">IFERROR((J138-G138)/G138,"")</f>
        <v>0</v>
      </c>
      <c r="P138" s="11" t="n">
        <f aca="false">K138-H138</f>
        <v>4441266</v>
      </c>
    </row>
    <row r="139" customFormat="false" ht="15" hidden="false" customHeight="false" outlineLevel="0" collapsed="false">
      <c r="A139" s="4" t="n">
        <v>135</v>
      </c>
      <c r="B139" s="4" t="s">
        <v>299</v>
      </c>
      <c r="C139" s="4" t="s">
        <v>300</v>
      </c>
      <c r="D139" s="4" t="s">
        <v>300</v>
      </c>
      <c r="E139" s="4" t="s">
        <v>301</v>
      </c>
      <c r="F139" s="5" t="n">
        <v>146698620</v>
      </c>
      <c r="G139" s="5" t="n">
        <v>6263055859</v>
      </c>
      <c r="H139" s="5" t="n">
        <v>270929</v>
      </c>
      <c r="I139" s="5" t="n">
        <v>150157523</v>
      </c>
      <c r="J139" s="5" t="n">
        <v>6263055859</v>
      </c>
      <c r="K139" s="5" t="n">
        <v>4894529</v>
      </c>
      <c r="L139" s="6" t="n">
        <f aca="false">I139-F139</f>
        <v>3458903</v>
      </c>
      <c r="M139" s="7" t="n">
        <f aca="false">IFERROR((I139-F139)/F139,"")</f>
        <v>0.0235782926928692</v>
      </c>
      <c r="N139" s="6" t="n">
        <f aca="false">J139-G139</f>
        <v>0</v>
      </c>
      <c r="O139" s="8" t="n">
        <f aca="false">IFERROR((J139-G139)/G139,"")</f>
        <v>0</v>
      </c>
      <c r="P139" s="6" t="n">
        <f aca="false">K139-H139</f>
        <v>4623600</v>
      </c>
    </row>
    <row r="140" customFormat="false" ht="15" hidden="false" customHeight="false" outlineLevel="0" collapsed="false">
      <c r="A140" s="9" t="n">
        <v>136</v>
      </c>
      <c r="B140" s="9" t="s">
        <v>302</v>
      </c>
      <c r="C140" s="9" t="s">
        <v>303</v>
      </c>
      <c r="D140" s="9" t="s">
        <v>303</v>
      </c>
      <c r="E140" s="9" t="s">
        <v>23</v>
      </c>
      <c r="F140" s="10" t="n">
        <v>145358333</v>
      </c>
      <c r="G140" s="10" t="n">
        <v>1757994525</v>
      </c>
      <c r="H140" s="10" t="n">
        <v>13002447</v>
      </c>
      <c r="I140" s="10" t="n">
        <v>148325935</v>
      </c>
      <c r="J140" s="10" t="n">
        <v>1757994525</v>
      </c>
      <c r="K140" s="10" t="n">
        <v>17669147</v>
      </c>
      <c r="L140" s="11" t="n">
        <f aca="false">I140-F140</f>
        <v>2967602</v>
      </c>
      <c r="M140" s="12" t="n">
        <f aca="false">IFERROR((I140-F140)/F140,"")</f>
        <v>0.0204157679766457</v>
      </c>
      <c r="N140" s="11" t="n">
        <f aca="false">J140-G140</f>
        <v>0</v>
      </c>
      <c r="O140" s="13" t="n">
        <f aca="false">IFERROR((J140-G140)/G140,"")</f>
        <v>0</v>
      </c>
      <c r="P140" s="11" t="n">
        <f aca="false">K140-H140</f>
        <v>4666700</v>
      </c>
    </row>
    <row r="141" customFormat="false" ht="15" hidden="false" customHeight="false" outlineLevel="0" collapsed="false">
      <c r="A141" s="4" t="n">
        <v>137</v>
      </c>
      <c r="B141" s="4" t="s">
        <v>304</v>
      </c>
      <c r="C141" s="4" t="s">
        <v>305</v>
      </c>
      <c r="D141" s="4" t="s">
        <v>305</v>
      </c>
      <c r="E141" s="4" t="s">
        <v>23</v>
      </c>
      <c r="F141" s="5" t="n">
        <v>144139602</v>
      </c>
      <c r="G141" s="5" t="n">
        <v>1714675120</v>
      </c>
      <c r="H141" s="5" t="n">
        <v>19941722</v>
      </c>
      <c r="I141" s="5" t="n">
        <v>147753298</v>
      </c>
      <c r="J141" s="5" t="n">
        <v>1714675120</v>
      </c>
      <c r="K141" s="5" t="n">
        <v>23966022</v>
      </c>
      <c r="L141" s="6" t="n">
        <f aca="false">I141-F141</f>
        <v>3613696</v>
      </c>
      <c r="M141" s="7" t="n">
        <f aca="false">IFERROR((I141-F141)/F141,"")</f>
        <v>0.025070806009302</v>
      </c>
      <c r="N141" s="6" t="n">
        <f aca="false">J141-G141</f>
        <v>0</v>
      </c>
      <c r="O141" s="8" t="n">
        <f aca="false">IFERROR((J141-G141)/G141,"")</f>
        <v>0</v>
      </c>
      <c r="P141" s="6" t="n">
        <f aca="false">K141-H141</f>
        <v>4024300</v>
      </c>
    </row>
    <row r="142" customFormat="false" ht="15" hidden="false" customHeight="false" outlineLevel="0" collapsed="false">
      <c r="A142" s="9" t="n">
        <v>138</v>
      </c>
      <c r="B142" s="9" t="s">
        <v>306</v>
      </c>
      <c r="C142" s="9" t="s">
        <v>307</v>
      </c>
      <c r="D142" s="9" t="s">
        <v>307</v>
      </c>
      <c r="E142" s="9" t="s">
        <v>23</v>
      </c>
      <c r="F142" s="10" t="n">
        <v>145362603</v>
      </c>
      <c r="G142" s="10" t="n">
        <v>4808734024</v>
      </c>
      <c r="H142" s="10" t="n">
        <v>269700</v>
      </c>
      <c r="I142" s="10" t="n">
        <v>147425527</v>
      </c>
      <c r="J142" s="10" t="n">
        <v>4808734300</v>
      </c>
      <c r="K142" s="10" t="n">
        <v>4861300</v>
      </c>
      <c r="L142" s="11" t="n">
        <f aca="false">I142-F142</f>
        <v>2062924</v>
      </c>
      <c r="M142" s="12" t="n">
        <f aca="false">IFERROR((I142-F142)/F142,"")</f>
        <v>0.0141915730554165</v>
      </c>
      <c r="N142" s="11" t="n">
        <f aca="false">J142-G142</f>
        <v>276</v>
      </c>
      <c r="O142" s="13" t="n">
        <f aca="false">IFERROR((J142-G142)/G142,"")</f>
        <v>5.73955637019029E-008</v>
      </c>
      <c r="P142" s="11" t="n">
        <f aca="false">K142-H142</f>
        <v>4591600</v>
      </c>
    </row>
    <row r="143" customFormat="false" ht="15" hidden="false" customHeight="false" outlineLevel="0" collapsed="false">
      <c r="A143" s="4" t="n">
        <v>139</v>
      </c>
      <c r="B143" s="4" t="s">
        <v>308</v>
      </c>
      <c r="C143" s="4" t="s">
        <v>309</v>
      </c>
      <c r="D143" s="4" t="s">
        <v>309</v>
      </c>
      <c r="E143" s="4" t="s">
        <v>23</v>
      </c>
      <c r="F143" s="5" t="n">
        <v>143106582</v>
      </c>
      <c r="G143" s="5" t="n">
        <v>13427958392</v>
      </c>
      <c r="H143" s="5" t="n">
        <v>20164904</v>
      </c>
      <c r="I143" s="5" t="n">
        <v>147306140</v>
      </c>
      <c r="J143" s="5" t="n">
        <v>13427958392</v>
      </c>
      <c r="K143" s="5" t="n">
        <v>24948204</v>
      </c>
      <c r="L143" s="6" t="n">
        <f aca="false">I143-F143</f>
        <v>4199558</v>
      </c>
      <c r="M143" s="7" t="n">
        <f aca="false">IFERROR((I143-F143)/F143,"")</f>
        <v>0.0293456662950695</v>
      </c>
      <c r="N143" s="6" t="n">
        <f aca="false">J143-G143</f>
        <v>0</v>
      </c>
      <c r="O143" s="8" t="n">
        <f aca="false">IFERROR((J143-G143)/G143,"")</f>
        <v>0</v>
      </c>
      <c r="P143" s="6" t="n">
        <f aca="false">K143-H143</f>
        <v>4783300</v>
      </c>
    </row>
    <row r="144" customFormat="false" ht="15" hidden="false" customHeight="false" outlineLevel="0" collapsed="false">
      <c r="A144" s="9" t="n">
        <v>140</v>
      </c>
      <c r="B144" s="9" t="s">
        <v>310</v>
      </c>
      <c r="C144" s="9" t="s">
        <v>311</v>
      </c>
      <c r="D144" s="9" t="s">
        <v>311</v>
      </c>
      <c r="E144" s="9" t="s">
        <v>23</v>
      </c>
      <c r="F144" s="10" t="n">
        <v>143415981</v>
      </c>
      <c r="G144" s="10" t="n">
        <v>3116142010</v>
      </c>
      <c r="H144" s="10" t="n">
        <v>280600</v>
      </c>
      <c r="I144" s="10" t="n">
        <v>146781003</v>
      </c>
      <c r="J144" s="10" t="n">
        <v>3116142010</v>
      </c>
      <c r="K144" s="10" t="n">
        <v>4937427</v>
      </c>
      <c r="L144" s="11" t="n">
        <f aca="false">I144-F144</f>
        <v>3365022</v>
      </c>
      <c r="M144" s="12" t="n">
        <f aca="false">IFERROR((I144-F144)/F144,"")</f>
        <v>0.0234633684233558</v>
      </c>
      <c r="N144" s="11" t="n">
        <f aca="false">J144-G144</f>
        <v>0</v>
      </c>
      <c r="O144" s="13" t="n">
        <f aca="false">IFERROR((J144-G144)/G144,"")</f>
        <v>0</v>
      </c>
      <c r="P144" s="11" t="n">
        <f aca="false">K144-H144</f>
        <v>4656827</v>
      </c>
    </row>
    <row r="145" customFormat="false" ht="15" hidden="false" customHeight="false" outlineLevel="0" collapsed="false">
      <c r="A145" s="4" t="n">
        <v>141</v>
      </c>
      <c r="B145" s="4" t="s">
        <v>312</v>
      </c>
      <c r="C145" s="4" t="s">
        <v>313</v>
      </c>
      <c r="D145" s="4" t="s">
        <v>313</v>
      </c>
      <c r="E145" s="4" t="s">
        <v>23</v>
      </c>
      <c r="F145" s="5" t="n">
        <v>146281622</v>
      </c>
      <c r="G145" s="5" t="n">
        <v>1547677151</v>
      </c>
      <c r="H145" s="5" t="n">
        <v>53083659</v>
      </c>
      <c r="I145" s="5" t="n">
        <v>146433702</v>
      </c>
      <c r="J145" s="5" t="n">
        <v>1547677151</v>
      </c>
      <c r="K145" s="5" t="n">
        <v>57644758</v>
      </c>
      <c r="L145" s="6" t="n">
        <f aca="false">I145-F145</f>
        <v>152080</v>
      </c>
      <c r="M145" s="7" t="n">
        <f aca="false">IFERROR((I145-F145)/F145,"")</f>
        <v>0.00103963845847977</v>
      </c>
      <c r="N145" s="6" t="n">
        <f aca="false">J145-G145</f>
        <v>0</v>
      </c>
      <c r="O145" s="8" t="n">
        <f aca="false">IFERROR((J145-G145)/G145,"")</f>
        <v>0</v>
      </c>
      <c r="P145" s="6" t="n">
        <f aca="false">K145-H145</f>
        <v>4561099</v>
      </c>
    </row>
    <row r="146" customFormat="false" ht="15" hidden="false" customHeight="false" outlineLevel="0" collapsed="false">
      <c r="A146" s="9" t="n">
        <v>142</v>
      </c>
      <c r="B146" s="9" t="s">
        <v>314</v>
      </c>
      <c r="C146" s="9" t="s">
        <v>315</v>
      </c>
      <c r="D146" s="9" t="s">
        <v>315</v>
      </c>
      <c r="E146" s="9" t="s">
        <v>264</v>
      </c>
      <c r="F146" s="10" t="n">
        <v>143185473</v>
      </c>
      <c r="G146" s="10" t="n">
        <v>3668900072</v>
      </c>
      <c r="H146" s="10" t="n">
        <v>5745018</v>
      </c>
      <c r="I146" s="10" t="n">
        <v>146342096</v>
      </c>
      <c r="J146" s="10" t="n">
        <v>3668900072</v>
      </c>
      <c r="K146" s="10" t="n">
        <v>382636</v>
      </c>
      <c r="L146" s="11" t="n">
        <f aca="false">I146-F146</f>
        <v>3156623</v>
      </c>
      <c r="M146" s="12" t="n">
        <f aca="false">IFERROR((I146-F146)/F146,"")</f>
        <v>0.0220456931409515</v>
      </c>
      <c r="N146" s="11" t="n">
        <f aca="false">J146-G146</f>
        <v>0</v>
      </c>
      <c r="O146" s="13" t="n">
        <f aca="false">IFERROR((J146-G146)/G146,"")</f>
        <v>0</v>
      </c>
      <c r="P146" s="14" t="n">
        <f aca="false">K146-H146</f>
        <v>-5362382</v>
      </c>
    </row>
    <row r="147" customFormat="false" ht="15" hidden="false" customHeight="false" outlineLevel="0" collapsed="false">
      <c r="A147" s="4" t="n">
        <v>143</v>
      </c>
      <c r="B147" s="4" t="s">
        <v>316</v>
      </c>
      <c r="C147" s="4" t="s">
        <v>317</v>
      </c>
      <c r="D147" s="4" t="s">
        <v>317</v>
      </c>
      <c r="E147" s="4" t="s">
        <v>23</v>
      </c>
      <c r="F147" s="5" t="n">
        <v>142372245</v>
      </c>
      <c r="G147" s="5" t="n">
        <v>2682031897</v>
      </c>
      <c r="H147" s="5" t="n">
        <v>12481200</v>
      </c>
      <c r="I147" s="5" t="n">
        <v>146337871</v>
      </c>
      <c r="J147" s="5" t="n">
        <v>2682031897</v>
      </c>
      <c r="K147" s="5" t="n">
        <v>17029400</v>
      </c>
      <c r="L147" s="6" t="n">
        <f aca="false">I147-F147</f>
        <v>3965626</v>
      </c>
      <c r="M147" s="7" t="n">
        <f aca="false">IFERROR((I147-F147)/F147,"")</f>
        <v>0.0278539261637688</v>
      </c>
      <c r="N147" s="6" t="n">
        <f aca="false">J147-G147</f>
        <v>0</v>
      </c>
      <c r="O147" s="8" t="n">
        <f aca="false">IFERROR((J147-G147)/G147,"")</f>
        <v>0</v>
      </c>
      <c r="P147" s="6" t="n">
        <f aca="false">K147-H147</f>
        <v>4548200</v>
      </c>
    </row>
    <row r="148" customFormat="false" ht="15" hidden="false" customHeight="false" outlineLevel="0" collapsed="false">
      <c r="A148" s="9" t="n">
        <v>144</v>
      </c>
      <c r="B148" s="9" t="s">
        <v>318</v>
      </c>
      <c r="C148" s="9" t="s">
        <v>319</v>
      </c>
      <c r="D148" s="9" t="s">
        <v>319</v>
      </c>
      <c r="E148" s="9" t="s">
        <v>23</v>
      </c>
      <c r="F148" s="10" t="n">
        <v>144023451</v>
      </c>
      <c r="G148" s="10" t="n">
        <v>1301872531</v>
      </c>
      <c r="H148" s="10" t="n">
        <v>4881621</v>
      </c>
      <c r="I148" s="10" t="n">
        <v>146032792</v>
      </c>
      <c r="J148" s="10" t="n">
        <v>1301872531</v>
      </c>
      <c r="K148" s="10" t="n">
        <v>9442332</v>
      </c>
      <c r="L148" s="11" t="n">
        <f aca="false">I148-F148</f>
        <v>2009341</v>
      </c>
      <c r="M148" s="12" t="n">
        <f aca="false">IFERROR((I148-F148)/F148,"")</f>
        <v>0.0139514848869994</v>
      </c>
      <c r="N148" s="11" t="n">
        <f aca="false">J148-G148</f>
        <v>0</v>
      </c>
      <c r="O148" s="13" t="n">
        <f aca="false">IFERROR((J148-G148)/G148,"")</f>
        <v>0</v>
      </c>
      <c r="P148" s="11" t="n">
        <f aca="false">K148-H148</f>
        <v>4560711</v>
      </c>
    </row>
    <row r="149" customFormat="false" ht="15" hidden="false" customHeight="false" outlineLevel="0" collapsed="false">
      <c r="A149" s="4" t="n">
        <v>145</v>
      </c>
      <c r="B149" s="4" t="s">
        <v>320</v>
      </c>
      <c r="C149" s="24" t="s">
        <v>321</v>
      </c>
      <c r="D149" s="24" t="s">
        <v>321</v>
      </c>
      <c r="E149" s="4" t="s">
        <v>322</v>
      </c>
      <c r="F149" s="5" t="n">
        <v>141531625</v>
      </c>
      <c r="G149" s="5" t="n">
        <v>1089197551</v>
      </c>
      <c r="H149" s="5" t="n">
        <v>1566600</v>
      </c>
      <c r="I149" s="5" t="n">
        <v>144820703</v>
      </c>
      <c r="J149" s="5" t="n">
        <v>1089197551</v>
      </c>
      <c r="K149" s="5" t="n">
        <v>5955600</v>
      </c>
      <c r="L149" s="6" t="n">
        <f aca="false">I149-F149</f>
        <v>3289078</v>
      </c>
      <c r="M149" s="7" t="n">
        <f aca="false">IFERROR((I149-F149)/F149,"")</f>
        <v>0.0232391735769302</v>
      </c>
      <c r="N149" s="6" t="n">
        <f aca="false">J149-G149</f>
        <v>0</v>
      </c>
      <c r="O149" s="8" t="n">
        <f aca="false">IFERROR((J149-G149)/G149,"")</f>
        <v>0</v>
      </c>
      <c r="P149" s="6" t="n">
        <f aca="false">K149-H149</f>
        <v>4389000</v>
      </c>
    </row>
    <row r="150" customFormat="false" ht="15" hidden="false" customHeight="false" outlineLevel="0" collapsed="false">
      <c r="A150" s="9" t="n">
        <v>146</v>
      </c>
      <c r="B150" s="9" t="s">
        <v>323</v>
      </c>
      <c r="C150" s="9" t="s">
        <v>324</v>
      </c>
      <c r="D150" s="9" t="s">
        <v>324</v>
      </c>
      <c r="E150" s="9" t="s">
        <v>23</v>
      </c>
      <c r="F150" s="10" t="n">
        <v>144312608</v>
      </c>
      <c r="G150" s="10" t="n">
        <v>2833217617</v>
      </c>
      <c r="H150" s="10" t="n">
        <v>134500</v>
      </c>
      <c r="I150" s="10" t="n">
        <v>144730658</v>
      </c>
      <c r="J150" s="10" t="n">
        <v>2833217617</v>
      </c>
      <c r="K150" s="10" t="n">
        <v>642300</v>
      </c>
      <c r="L150" s="11" t="n">
        <f aca="false">I150-F150</f>
        <v>418050</v>
      </c>
      <c r="M150" s="12" t="n">
        <f aca="false">IFERROR((I150-F150)/F150,"")</f>
        <v>0.00289683629028449</v>
      </c>
      <c r="N150" s="11" t="n">
        <f aca="false">J150-G150</f>
        <v>0</v>
      </c>
      <c r="O150" s="13" t="n">
        <f aca="false">IFERROR((J150-G150)/G150,"")</f>
        <v>0</v>
      </c>
      <c r="P150" s="11" t="n">
        <f aca="false">K150-H150</f>
        <v>507800</v>
      </c>
    </row>
    <row r="151" customFormat="false" ht="15" hidden="false" customHeight="false" outlineLevel="0" collapsed="false">
      <c r="A151" s="4" t="n">
        <v>147</v>
      </c>
      <c r="B151" s="4" t="s">
        <v>325</v>
      </c>
      <c r="C151" s="4" t="s">
        <v>326</v>
      </c>
      <c r="D151" s="4" t="s">
        <v>326</v>
      </c>
      <c r="E151" s="4" t="s">
        <v>23</v>
      </c>
      <c r="F151" s="5" t="n">
        <v>144340323</v>
      </c>
      <c r="G151" s="5" t="n">
        <v>1439281497</v>
      </c>
      <c r="H151" s="5" t="n">
        <v>258400</v>
      </c>
      <c r="I151" s="5" t="n">
        <v>144667724</v>
      </c>
      <c r="J151" s="5" t="n">
        <v>1439281497</v>
      </c>
      <c r="K151" s="5" t="n">
        <v>4873779</v>
      </c>
      <c r="L151" s="6" t="n">
        <f aca="false">I151-F151</f>
        <v>327401</v>
      </c>
      <c r="M151" s="7" t="n">
        <f aca="false">IFERROR((I151-F151)/F151,"")</f>
        <v>0.00226825736007256</v>
      </c>
      <c r="N151" s="6" t="n">
        <f aca="false">J151-G151</f>
        <v>0</v>
      </c>
      <c r="O151" s="8" t="n">
        <f aca="false">IFERROR((J151-G151)/G151,"")</f>
        <v>0</v>
      </c>
      <c r="P151" s="6" t="n">
        <f aca="false">K151-H151</f>
        <v>4615379</v>
      </c>
    </row>
    <row r="152" customFormat="false" ht="15" hidden="false" customHeight="false" outlineLevel="0" collapsed="false">
      <c r="A152" s="9" t="n">
        <v>148</v>
      </c>
      <c r="B152" s="9" t="s">
        <v>327</v>
      </c>
      <c r="C152" s="9" t="s">
        <v>328</v>
      </c>
      <c r="D152" s="9" t="s">
        <v>328</v>
      </c>
      <c r="E152" s="9" t="s">
        <v>23</v>
      </c>
      <c r="F152" s="10" t="n">
        <v>143531823</v>
      </c>
      <c r="G152" s="10" t="n">
        <v>3260748489</v>
      </c>
      <c r="H152" s="10" t="n">
        <v>6071241</v>
      </c>
      <c r="I152" s="10" t="n">
        <v>144590159</v>
      </c>
      <c r="J152" s="10" t="n">
        <v>3260748489</v>
      </c>
      <c r="K152" s="10" t="n">
        <v>10807041</v>
      </c>
      <c r="L152" s="11" t="n">
        <f aca="false">I152-F152</f>
        <v>1058336</v>
      </c>
      <c r="M152" s="12" t="n">
        <f aca="false">IFERROR((I152-F152)/F152,"")</f>
        <v>0.00737352858675807</v>
      </c>
      <c r="N152" s="11" t="n">
        <f aca="false">J152-G152</f>
        <v>0</v>
      </c>
      <c r="O152" s="13" t="n">
        <f aca="false">IFERROR((J152-G152)/G152,"")</f>
        <v>0</v>
      </c>
      <c r="P152" s="11" t="n">
        <f aca="false">K152-H152</f>
        <v>4735800</v>
      </c>
    </row>
    <row r="153" customFormat="false" ht="15" hidden="false" customHeight="false" outlineLevel="0" collapsed="false">
      <c r="A153" s="4" t="n">
        <v>149</v>
      </c>
      <c r="B153" s="4" t="s">
        <v>329</v>
      </c>
      <c r="C153" s="4" t="s">
        <v>330</v>
      </c>
      <c r="D153" s="4" t="s">
        <v>330</v>
      </c>
      <c r="E153" s="4" t="s">
        <v>23</v>
      </c>
      <c r="F153" s="5" t="n">
        <v>141759994</v>
      </c>
      <c r="G153" s="5" t="n">
        <v>903132911</v>
      </c>
      <c r="H153" s="5" t="n">
        <v>13729542</v>
      </c>
      <c r="I153" s="5" t="n">
        <v>144341481</v>
      </c>
      <c r="J153" s="5" t="n">
        <v>903132911</v>
      </c>
      <c r="K153" s="5" t="n">
        <v>18290842</v>
      </c>
      <c r="L153" s="6" t="n">
        <f aca="false">I153-F153</f>
        <v>2581487</v>
      </c>
      <c r="M153" s="7" t="n">
        <f aca="false">IFERROR((I153-F153)/F153,"")</f>
        <v>0.0182102645969356</v>
      </c>
      <c r="N153" s="6" t="n">
        <f aca="false">J153-G153</f>
        <v>0</v>
      </c>
      <c r="O153" s="8" t="n">
        <f aca="false">IFERROR((J153-G153)/G153,"")</f>
        <v>0</v>
      </c>
      <c r="P153" s="6" t="n">
        <f aca="false">K153-H153</f>
        <v>4561300</v>
      </c>
    </row>
    <row r="154" customFormat="false" ht="15" hidden="false" customHeight="false" outlineLevel="0" collapsed="false">
      <c r="A154" s="9" t="n">
        <v>150</v>
      </c>
      <c r="B154" s="9" t="s">
        <v>331</v>
      </c>
      <c r="C154" s="9" t="s">
        <v>332</v>
      </c>
      <c r="D154" s="9" t="s">
        <v>332</v>
      </c>
      <c r="E154" s="9" t="s">
        <v>23</v>
      </c>
      <c r="F154" s="10" t="n">
        <v>142550108</v>
      </c>
      <c r="G154" s="10" t="n">
        <v>1125516589</v>
      </c>
      <c r="H154" s="10" t="n">
        <v>267900</v>
      </c>
      <c r="I154" s="10" t="n">
        <v>144230001</v>
      </c>
      <c r="J154" s="10" t="n">
        <v>1125516589</v>
      </c>
      <c r="K154" s="10" t="n">
        <v>4765229</v>
      </c>
      <c r="L154" s="11" t="n">
        <f aca="false">I154-F154</f>
        <v>1679893</v>
      </c>
      <c r="M154" s="12" t="n">
        <f aca="false">IFERROR((I154-F154)/F154,"")</f>
        <v>0.0117845789355698</v>
      </c>
      <c r="N154" s="11" t="n">
        <f aca="false">J154-G154</f>
        <v>0</v>
      </c>
      <c r="O154" s="13" t="n">
        <f aca="false">IFERROR((J154-G154)/G154,"")</f>
        <v>0</v>
      </c>
      <c r="P154" s="11" t="n">
        <f aca="false">K154-H154</f>
        <v>4497329</v>
      </c>
    </row>
    <row r="155" customFormat="false" ht="15" hidden="false" customHeight="false" outlineLevel="0" collapsed="false">
      <c r="A155" s="4" t="n">
        <v>151</v>
      </c>
      <c r="B155" s="4" t="s">
        <v>333</v>
      </c>
      <c r="C155" s="4" t="s">
        <v>334</v>
      </c>
      <c r="D155" s="4" t="s">
        <v>334</v>
      </c>
      <c r="E155" s="4" t="s">
        <v>23</v>
      </c>
      <c r="F155" s="5" t="n">
        <v>139598141</v>
      </c>
      <c r="G155" s="5" t="n">
        <v>852949174</v>
      </c>
      <c r="H155" s="5" t="n">
        <v>44514926</v>
      </c>
      <c r="I155" s="5" t="n">
        <v>143746096</v>
      </c>
      <c r="J155" s="5" t="n">
        <v>852949174</v>
      </c>
      <c r="K155" s="5" t="n">
        <v>49038326</v>
      </c>
      <c r="L155" s="6" t="n">
        <f aca="false">I155-F155</f>
        <v>4147955</v>
      </c>
      <c r="M155" s="7" t="n">
        <f aca="false">IFERROR((I155-F155)/F155,"")</f>
        <v>0.0297135403830342</v>
      </c>
      <c r="N155" s="6" t="n">
        <f aca="false">J155-G155</f>
        <v>0</v>
      </c>
      <c r="O155" s="8" t="n">
        <f aca="false">IFERROR((J155-G155)/G155,"")</f>
        <v>0</v>
      </c>
      <c r="P155" s="6" t="n">
        <f aca="false">K155-H155</f>
        <v>4523400</v>
      </c>
    </row>
    <row r="156" customFormat="false" ht="15" hidden="false" customHeight="false" outlineLevel="0" collapsed="false">
      <c r="A156" s="9" t="n">
        <v>152</v>
      </c>
      <c r="B156" s="9" t="s">
        <v>335</v>
      </c>
      <c r="C156" s="9" t="s">
        <v>336</v>
      </c>
      <c r="D156" s="9" t="s">
        <v>336</v>
      </c>
      <c r="E156" s="9" t="s">
        <v>23</v>
      </c>
      <c r="F156" s="10" t="n">
        <v>139537145</v>
      </c>
      <c r="G156" s="10" t="n">
        <v>3022950366</v>
      </c>
      <c r="H156" s="10" t="n">
        <v>289100</v>
      </c>
      <c r="I156" s="10" t="n">
        <v>143587064</v>
      </c>
      <c r="J156" s="10" t="n">
        <v>3022950366</v>
      </c>
      <c r="K156" s="10" t="n">
        <v>4988100</v>
      </c>
      <c r="L156" s="11" t="n">
        <f aca="false">I156-F156</f>
        <v>4049919</v>
      </c>
      <c r="M156" s="12" t="n">
        <f aca="false">IFERROR((I156-F156)/F156,"")</f>
        <v>0.0290239491427175</v>
      </c>
      <c r="N156" s="11" t="n">
        <f aca="false">J156-G156</f>
        <v>0</v>
      </c>
      <c r="O156" s="13" t="n">
        <f aca="false">IFERROR((J156-G156)/G156,"")</f>
        <v>0</v>
      </c>
      <c r="P156" s="11" t="n">
        <f aca="false">K156-H156</f>
        <v>4699000</v>
      </c>
    </row>
    <row r="157" customFormat="false" ht="15" hidden="false" customHeight="false" outlineLevel="0" collapsed="false">
      <c r="A157" s="4" t="n">
        <v>153</v>
      </c>
      <c r="B157" s="4" t="s">
        <v>337</v>
      </c>
      <c r="C157" s="4" t="s">
        <v>338</v>
      </c>
      <c r="D157" s="4" t="s">
        <v>338</v>
      </c>
      <c r="E157" s="4" t="s">
        <v>339</v>
      </c>
      <c r="F157" s="5" t="n">
        <v>141459498</v>
      </c>
      <c r="G157" s="5" t="n">
        <v>686989293</v>
      </c>
      <c r="H157" s="5" t="n">
        <v>24013250</v>
      </c>
      <c r="I157" s="5" t="n">
        <v>143563960</v>
      </c>
      <c r="J157" s="5" t="n">
        <v>686989293</v>
      </c>
      <c r="K157" s="5" t="n">
        <v>28411280</v>
      </c>
      <c r="L157" s="6" t="n">
        <f aca="false">I157-F157</f>
        <v>2104462</v>
      </c>
      <c r="M157" s="7" t="n">
        <f aca="false">IFERROR((I157-F157)/F157,"")</f>
        <v>0.0148767811971169</v>
      </c>
      <c r="N157" s="6" t="n">
        <f aca="false">J157-G157</f>
        <v>0</v>
      </c>
      <c r="O157" s="8" t="n">
        <f aca="false">IFERROR((J157-G157)/G157,"")</f>
        <v>0</v>
      </c>
      <c r="P157" s="6" t="n">
        <f aca="false">K157-H157</f>
        <v>4398030</v>
      </c>
    </row>
    <row r="158" customFormat="false" ht="15" hidden="false" customHeight="false" outlineLevel="0" collapsed="false">
      <c r="A158" s="9" t="n">
        <v>154</v>
      </c>
      <c r="B158" s="9" t="s">
        <v>340</v>
      </c>
      <c r="C158" s="9" t="s">
        <v>341</v>
      </c>
      <c r="D158" s="9" t="s">
        <v>341</v>
      </c>
      <c r="E158" s="9" t="s">
        <v>23</v>
      </c>
      <c r="F158" s="10" t="n">
        <v>136670894</v>
      </c>
      <c r="G158" s="10" t="n">
        <v>6346455407</v>
      </c>
      <c r="H158" s="10" t="n">
        <v>0</v>
      </c>
      <c r="I158" s="10" t="n">
        <v>142811698</v>
      </c>
      <c r="J158" s="10" t="n">
        <v>6346455407</v>
      </c>
      <c r="K158" s="10" t="n">
        <v>4677100</v>
      </c>
      <c r="L158" s="11" t="n">
        <f aca="false">I158-F158</f>
        <v>6140804</v>
      </c>
      <c r="M158" s="12" t="n">
        <f aca="false">IFERROR((I158-F158)/F158,"")</f>
        <v>0.0449313223926083</v>
      </c>
      <c r="N158" s="11" t="n">
        <f aca="false">J158-G158</f>
        <v>0</v>
      </c>
      <c r="O158" s="13" t="n">
        <f aca="false">IFERROR((J158-G158)/G158,"")</f>
        <v>0</v>
      </c>
      <c r="P158" s="11" t="n">
        <f aca="false">K158-H158</f>
        <v>4677100</v>
      </c>
    </row>
    <row r="159" customFormat="false" ht="15" hidden="false" customHeight="false" outlineLevel="0" collapsed="false">
      <c r="A159" s="4" t="n">
        <v>155</v>
      </c>
      <c r="B159" s="4" t="s">
        <v>342</v>
      </c>
      <c r="C159" s="4" t="s">
        <v>343</v>
      </c>
      <c r="D159" s="4" t="s">
        <v>343</v>
      </c>
      <c r="E159" s="4" t="s">
        <v>23</v>
      </c>
      <c r="F159" s="5" t="n">
        <v>134647792</v>
      </c>
      <c r="G159" s="5" t="n">
        <v>8438013831</v>
      </c>
      <c r="H159" s="5" t="n">
        <v>3547246</v>
      </c>
      <c r="I159" s="5" t="n">
        <v>142675362</v>
      </c>
      <c r="J159" s="5" t="n">
        <v>8438013831</v>
      </c>
      <c r="K159" s="5" t="n">
        <v>8220160</v>
      </c>
      <c r="L159" s="6" t="n">
        <f aca="false">I159-F159</f>
        <v>8027570</v>
      </c>
      <c r="M159" s="7" t="n">
        <f aca="false">IFERROR((I159-F159)/F159,"")</f>
        <v>0.0596190244248491</v>
      </c>
      <c r="N159" s="6" t="n">
        <f aca="false">J159-G159</f>
        <v>0</v>
      </c>
      <c r="O159" s="8" t="n">
        <f aca="false">IFERROR((J159-G159)/G159,"")</f>
        <v>0</v>
      </c>
      <c r="P159" s="6" t="n">
        <f aca="false">K159-H159</f>
        <v>4672914</v>
      </c>
    </row>
    <row r="160" customFormat="false" ht="15" hidden="false" customHeight="false" outlineLevel="0" collapsed="false">
      <c r="A160" s="9" t="n">
        <v>156</v>
      </c>
      <c r="B160" s="9" t="s">
        <v>344</v>
      </c>
      <c r="C160" s="9" t="s">
        <v>345</v>
      </c>
      <c r="D160" s="9" t="s">
        <v>345</v>
      </c>
      <c r="E160" s="9" t="s">
        <v>23</v>
      </c>
      <c r="F160" s="10" t="n">
        <v>139684715</v>
      </c>
      <c r="G160" s="10" t="n">
        <v>1456935820</v>
      </c>
      <c r="H160" s="10" t="n">
        <v>50261362</v>
      </c>
      <c r="I160" s="10" t="n">
        <v>142491997</v>
      </c>
      <c r="J160" s="10" t="n">
        <v>1456935820</v>
      </c>
      <c r="K160" s="10" t="n">
        <v>54746662</v>
      </c>
      <c r="L160" s="11" t="n">
        <f aca="false">I160-F160</f>
        <v>2807282</v>
      </c>
      <c r="M160" s="12" t="n">
        <f aca="false">IFERROR((I160-F160)/F160,"")</f>
        <v>0.0200972740646677</v>
      </c>
      <c r="N160" s="11" t="n">
        <f aca="false">J160-G160</f>
        <v>0</v>
      </c>
      <c r="O160" s="13" t="n">
        <f aca="false">IFERROR((J160-G160)/G160,"")</f>
        <v>0</v>
      </c>
      <c r="P160" s="11" t="n">
        <f aca="false">K160-H160</f>
        <v>4485300</v>
      </c>
    </row>
    <row r="161" customFormat="false" ht="15" hidden="false" customHeight="false" outlineLevel="0" collapsed="false">
      <c r="A161" s="4" t="n">
        <v>157</v>
      </c>
      <c r="B161" s="4" t="s">
        <v>346</v>
      </c>
      <c r="C161" s="4" t="s">
        <v>347</v>
      </c>
      <c r="D161" s="4" t="s">
        <v>347</v>
      </c>
      <c r="E161" s="4" t="s">
        <v>23</v>
      </c>
      <c r="F161" s="5" t="n">
        <v>134122780</v>
      </c>
      <c r="G161" s="5" t="n">
        <v>1160465165</v>
      </c>
      <c r="H161" s="5" t="n">
        <v>93708230</v>
      </c>
      <c r="I161" s="5" t="n">
        <v>141787274</v>
      </c>
      <c r="J161" s="5" t="n">
        <v>1160465165</v>
      </c>
      <c r="K161" s="5" t="n">
        <v>98350230</v>
      </c>
      <c r="L161" s="6" t="n">
        <f aca="false">I161-F161</f>
        <v>7664494</v>
      </c>
      <c r="M161" s="7" t="n">
        <f aca="false">IFERROR((I161-F161)/F161,"")</f>
        <v>0.0571453559194046</v>
      </c>
      <c r="N161" s="6" t="n">
        <f aca="false">J161-G161</f>
        <v>0</v>
      </c>
      <c r="O161" s="8" t="n">
        <f aca="false">IFERROR((J161-G161)/G161,"")</f>
        <v>0</v>
      </c>
      <c r="P161" s="6" t="n">
        <f aca="false">K161-H161</f>
        <v>4642000</v>
      </c>
    </row>
    <row r="162" customFormat="false" ht="15" hidden="false" customHeight="false" outlineLevel="0" collapsed="false">
      <c r="A162" s="9" t="n">
        <v>158</v>
      </c>
      <c r="B162" s="9" t="s">
        <v>348</v>
      </c>
      <c r="C162" s="9" t="s">
        <v>349</v>
      </c>
      <c r="D162" s="9" t="s">
        <v>349</v>
      </c>
      <c r="E162" s="9" t="s">
        <v>23</v>
      </c>
      <c r="F162" s="10" t="n">
        <v>134045045</v>
      </c>
      <c r="G162" s="10" t="n">
        <v>3107371606</v>
      </c>
      <c r="H162" s="10" t="n">
        <v>11392748</v>
      </c>
      <c r="I162" s="10" t="n">
        <v>140983482</v>
      </c>
      <c r="J162" s="10" t="n">
        <v>3107371606</v>
      </c>
      <c r="K162" s="10" t="n">
        <v>15333848</v>
      </c>
      <c r="L162" s="11" t="n">
        <f aca="false">I162-F162</f>
        <v>6938437</v>
      </c>
      <c r="M162" s="12" t="n">
        <f aca="false">IFERROR((I162-F162)/F162,"")</f>
        <v>0.0517619804596283</v>
      </c>
      <c r="N162" s="11" t="n">
        <f aca="false">J162-G162</f>
        <v>0</v>
      </c>
      <c r="O162" s="13" t="n">
        <f aca="false">IFERROR((J162-G162)/G162,"")</f>
        <v>0</v>
      </c>
      <c r="P162" s="11" t="n">
        <f aca="false">K162-H162</f>
        <v>3941100</v>
      </c>
    </row>
    <row r="163" customFormat="false" ht="15" hidden="false" customHeight="false" outlineLevel="0" collapsed="false">
      <c r="A163" s="4" t="n">
        <v>159</v>
      </c>
      <c r="B163" s="4" t="s">
        <v>350</v>
      </c>
      <c r="C163" s="4" t="s">
        <v>351</v>
      </c>
      <c r="D163" s="4" t="s">
        <v>351</v>
      </c>
      <c r="E163" s="4" t="s">
        <v>23</v>
      </c>
      <c r="F163" s="5" t="n">
        <v>134991302</v>
      </c>
      <c r="G163" s="5" t="n">
        <v>1784284005</v>
      </c>
      <c r="H163" s="5" t="n">
        <v>16730199</v>
      </c>
      <c r="I163" s="5" t="n">
        <v>140536787</v>
      </c>
      <c r="J163" s="5" t="n">
        <v>1784284005</v>
      </c>
      <c r="K163" s="5" t="n">
        <v>525860</v>
      </c>
      <c r="L163" s="6" t="n">
        <f aca="false">I163-F163</f>
        <v>5545485</v>
      </c>
      <c r="M163" s="7" t="n">
        <f aca="false">IFERROR((I163-F163)/F163,"")</f>
        <v>0.0410803134560477</v>
      </c>
      <c r="N163" s="6" t="n">
        <f aca="false">J163-G163</f>
        <v>0</v>
      </c>
      <c r="O163" s="8" t="n">
        <f aca="false">IFERROR((J163-G163)/G163,"")</f>
        <v>0</v>
      </c>
      <c r="P163" s="15" t="n">
        <f aca="false">K163-H163</f>
        <v>-16204339</v>
      </c>
    </row>
    <row r="164" customFormat="false" ht="15" hidden="false" customHeight="false" outlineLevel="0" collapsed="false">
      <c r="A164" s="9" t="n">
        <v>160</v>
      </c>
      <c r="B164" s="9" t="s">
        <v>352</v>
      </c>
      <c r="C164" s="9" t="s">
        <v>353</v>
      </c>
      <c r="D164" s="9" t="s">
        <v>353</v>
      </c>
      <c r="E164" s="9" t="s">
        <v>23</v>
      </c>
      <c r="F164" s="10" t="n">
        <v>132957893</v>
      </c>
      <c r="G164" s="10" t="n">
        <v>1519758258</v>
      </c>
      <c r="H164" s="10" t="n">
        <v>38801480</v>
      </c>
      <c r="I164" s="10" t="n">
        <v>139806143</v>
      </c>
      <c r="J164" s="10" t="n">
        <v>1519758258</v>
      </c>
      <c r="K164" s="10" t="n">
        <v>43334780</v>
      </c>
      <c r="L164" s="11" t="n">
        <f aca="false">I164-F164</f>
        <v>6848250</v>
      </c>
      <c r="M164" s="12" t="n">
        <f aca="false">IFERROR((I164-F164)/F164,"")</f>
        <v>0.0515069082811052</v>
      </c>
      <c r="N164" s="11" t="n">
        <f aca="false">J164-G164</f>
        <v>0</v>
      </c>
      <c r="O164" s="13" t="n">
        <f aca="false">IFERROR((J164-G164)/G164,"")</f>
        <v>0</v>
      </c>
      <c r="P164" s="11" t="n">
        <f aca="false">K164-H164</f>
        <v>4533300</v>
      </c>
    </row>
    <row r="165" customFormat="false" ht="15" hidden="false" customHeight="false" outlineLevel="0" collapsed="false">
      <c r="A165" s="4" t="n">
        <v>161</v>
      </c>
      <c r="B165" s="4" t="s">
        <v>354</v>
      </c>
      <c r="C165" s="4" t="s">
        <v>355</v>
      </c>
      <c r="D165" s="4" t="s">
        <v>355</v>
      </c>
      <c r="E165" s="4" t="s">
        <v>23</v>
      </c>
      <c r="F165" s="5" t="n">
        <v>135976713</v>
      </c>
      <c r="G165" s="5" t="n">
        <v>2768447794</v>
      </c>
      <c r="H165" s="5" t="n">
        <v>2208873</v>
      </c>
      <c r="I165" s="5" t="n">
        <v>139637910</v>
      </c>
      <c r="J165" s="5" t="n">
        <v>2768448070</v>
      </c>
      <c r="K165" s="5" t="n">
        <v>469400</v>
      </c>
      <c r="L165" s="6" t="n">
        <f aca="false">I165-F165</f>
        <v>3661197</v>
      </c>
      <c r="M165" s="7" t="n">
        <f aca="false">IFERROR((I165-F165)/F165,"")</f>
        <v>0.0269251765190118</v>
      </c>
      <c r="N165" s="6" t="n">
        <f aca="false">J165-G165</f>
        <v>276</v>
      </c>
      <c r="O165" s="8" t="n">
        <f aca="false">IFERROR((J165-G165)/G165,"")</f>
        <v>9.96948544950601E-008</v>
      </c>
      <c r="P165" s="15" t="n">
        <f aca="false">K165-H165</f>
        <v>-1739473</v>
      </c>
    </row>
    <row r="166" customFormat="false" ht="15" hidden="false" customHeight="false" outlineLevel="0" collapsed="false">
      <c r="A166" s="9" t="n">
        <v>162</v>
      </c>
      <c r="B166" s="9" t="s">
        <v>356</v>
      </c>
      <c r="C166" s="9" t="s">
        <v>357</v>
      </c>
      <c r="D166" s="9" t="s">
        <v>357</v>
      </c>
      <c r="E166" s="9" t="s">
        <v>23</v>
      </c>
      <c r="F166" s="10" t="n">
        <v>129064265</v>
      </c>
      <c r="G166" s="10" t="n">
        <v>2472147393</v>
      </c>
      <c r="H166" s="10" t="n">
        <v>4056561</v>
      </c>
      <c r="I166" s="10" t="n">
        <v>138810859</v>
      </c>
      <c r="J166" s="10" t="n">
        <v>2472147393</v>
      </c>
      <c r="K166" s="10" t="n">
        <v>8475478</v>
      </c>
      <c r="L166" s="11" t="n">
        <f aca="false">I166-F166</f>
        <v>9746594</v>
      </c>
      <c r="M166" s="12" t="n">
        <f aca="false">IFERROR((I166-F166)/F166,"")</f>
        <v>0.0755173711329003</v>
      </c>
      <c r="N166" s="11" t="n">
        <f aca="false">J166-G166</f>
        <v>0</v>
      </c>
      <c r="O166" s="13" t="n">
        <f aca="false">IFERROR((J166-G166)/G166,"")</f>
        <v>0</v>
      </c>
      <c r="P166" s="11" t="n">
        <f aca="false">K166-H166</f>
        <v>4418917</v>
      </c>
    </row>
    <row r="167" customFormat="false" ht="15" hidden="false" customHeight="false" outlineLevel="0" collapsed="false">
      <c r="A167" s="4" t="n">
        <v>163</v>
      </c>
      <c r="B167" s="4" t="s">
        <v>358</v>
      </c>
      <c r="C167" s="4" t="s">
        <v>359</v>
      </c>
      <c r="D167" s="4" t="s">
        <v>359</v>
      </c>
      <c r="E167" s="4" t="s">
        <v>23</v>
      </c>
      <c r="F167" s="5" t="n">
        <v>133398852</v>
      </c>
      <c r="G167" s="5" t="n">
        <v>1165055339</v>
      </c>
      <c r="H167" s="5" t="n">
        <v>21496211</v>
      </c>
      <c r="I167" s="5" t="n">
        <v>137931041</v>
      </c>
      <c r="J167" s="5" t="n">
        <v>1165055339</v>
      </c>
      <c r="K167" s="5" t="n">
        <v>26177808</v>
      </c>
      <c r="L167" s="6" t="n">
        <f aca="false">I167-F167</f>
        <v>4532189</v>
      </c>
      <c r="M167" s="7" t="n">
        <f aca="false">IFERROR((I167-F167)/F167,"")</f>
        <v>0.0339747226610316</v>
      </c>
      <c r="N167" s="6" t="n">
        <f aca="false">J167-G167</f>
        <v>0</v>
      </c>
      <c r="O167" s="8" t="n">
        <f aca="false">IFERROR((J167-G167)/G167,"")</f>
        <v>0</v>
      </c>
      <c r="P167" s="6" t="n">
        <f aca="false">K167-H167</f>
        <v>4681597</v>
      </c>
    </row>
    <row r="168" customFormat="false" ht="15" hidden="false" customHeight="false" outlineLevel="0" collapsed="false">
      <c r="A168" s="9" t="n">
        <v>164</v>
      </c>
      <c r="B168" s="9" t="s">
        <v>360</v>
      </c>
      <c r="C168" s="9" t="s">
        <v>361</v>
      </c>
      <c r="D168" s="9" t="s">
        <v>361</v>
      </c>
      <c r="E168" s="9" t="s">
        <v>23</v>
      </c>
      <c r="F168" s="10" t="n">
        <v>132488272</v>
      </c>
      <c r="G168" s="10" t="n">
        <v>1317619202</v>
      </c>
      <c r="H168" s="10" t="n">
        <v>11832925</v>
      </c>
      <c r="I168" s="10" t="n">
        <v>136904393</v>
      </c>
      <c r="J168" s="10" t="n">
        <v>1317619202</v>
      </c>
      <c r="K168" s="10" t="n">
        <v>16752225</v>
      </c>
      <c r="L168" s="11" t="n">
        <f aca="false">I168-F168</f>
        <v>4416121</v>
      </c>
      <c r="M168" s="12" t="n">
        <f aca="false">IFERROR((I168-F168)/F168,"")</f>
        <v>0.0333321654312164</v>
      </c>
      <c r="N168" s="11" t="n">
        <f aca="false">J168-G168</f>
        <v>0</v>
      </c>
      <c r="O168" s="13" t="n">
        <f aca="false">IFERROR((J168-G168)/G168,"")</f>
        <v>0</v>
      </c>
      <c r="P168" s="11" t="n">
        <f aca="false">K168-H168</f>
        <v>4919300</v>
      </c>
    </row>
    <row r="169" customFormat="false" ht="15" hidden="false" customHeight="false" outlineLevel="0" collapsed="false">
      <c r="A169" s="4" t="n">
        <v>165</v>
      </c>
      <c r="B169" s="4" t="s">
        <v>362</v>
      </c>
      <c r="C169" s="4" t="s">
        <v>363</v>
      </c>
      <c r="D169" s="4" t="s">
        <v>363</v>
      </c>
      <c r="E169" s="4" t="s">
        <v>23</v>
      </c>
      <c r="F169" s="5" t="n">
        <v>130552795</v>
      </c>
      <c r="G169" s="5" t="n">
        <v>3812631057</v>
      </c>
      <c r="H169" s="5" t="n">
        <v>13915287</v>
      </c>
      <c r="I169" s="5" t="n">
        <v>136391435</v>
      </c>
      <c r="J169" s="5" t="n">
        <v>3812631057</v>
      </c>
      <c r="K169" s="5" t="n">
        <v>18604187</v>
      </c>
      <c r="L169" s="6" t="n">
        <f aca="false">I169-F169</f>
        <v>5838640</v>
      </c>
      <c r="M169" s="7" t="n">
        <f aca="false">IFERROR((I169-F169)/F169,"")</f>
        <v>0.0447224435141354</v>
      </c>
      <c r="N169" s="6" t="n">
        <f aca="false">J169-G169</f>
        <v>0</v>
      </c>
      <c r="O169" s="8" t="n">
        <f aca="false">IFERROR((J169-G169)/G169,"")</f>
        <v>0</v>
      </c>
      <c r="P169" s="6" t="n">
        <f aca="false">K169-H169</f>
        <v>4688900</v>
      </c>
    </row>
    <row r="170" customFormat="false" ht="15" hidden="false" customHeight="false" outlineLevel="0" collapsed="false">
      <c r="A170" s="9" t="n">
        <v>166</v>
      </c>
      <c r="B170" s="9" t="s">
        <v>364</v>
      </c>
      <c r="C170" s="9" t="s">
        <v>365</v>
      </c>
      <c r="D170" s="9" t="s">
        <v>365</v>
      </c>
      <c r="E170" s="9" t="s">
        <v>23</v>
      </c>
      <c r="F170" s="10" t="n">
        <v>130373353</v>
      </c>
      <c r="G170" s="10" t="n">
        <v>797707635</v>
      </c>
      <c r="H170" s="10" t="n">
        <v>57135581</v>
      </c>
      <c r="I170" s="10" t="n">
        <v>136330161</v>
      </c>
      <c r="J170" s="10" t="n">
        <v>797707635</v>
      </c>
      <c r="K170" s="10" t="n">
        <v>61882181</v>
      </c>
      <c r="L170" s="11" t="n">
        <f aca="false">I170-F170</f>
        <v>5956808</v>
      </c>
      <c r="M170" s="12" t="n">
        <f aca="false">IFERROR((I170-F170)/F170,"")</f>
        <v>0.0456903796897822</v>
      </c>
      <c r="N170" s="11" t="n">
        <f aca="false">J170-G170</f>
        <v>0</v>
      </c>
      <c r="O170" s="13" t="n">
        <f aca="false">IFERROR((J170-G170)/G170,"")</f>
        <v>0</v>
      </c>
      <c r="P170" s="11" t="n">
        <f aca="false">K170-H170</f>
        <v>4746600</v>
      </c>
    </row>
    <row r="171" customFormat="false" ht="15" hidden="false" customHeight="false" outlineLevel="0" collapsed="false">
      <c r="A171" s="4" t="n">
        <v>167</v>
      </c>
      <c r="B171" s="4" t="s">
        <v>366</v>
      </c>
      <c r="C171" s="4" t="s">
        <v>367</v>
      </c>
      <c r="D171" s="4" t="s">
        <v>367</v>
      </c>
      <c r="E171" s="4" t="s">
        <v>368</v>
      </c>
      <c r="F171" s="5" t="n">
        <v>131517736</v>
      </c>
      <c r="G171" s="5" t="n">
        <v>3633005764</v>
      </c>
      <c r="H171" s="5" t="n">
        <v>59109799</v>
      </c>
      <c r="I171" s="5" t="n">
        <v>136275965</v>
      </c>
      <c r="J171" s="5" t="n">
        <v>3633005764</v>
      </c>
      <c r="K171" s="5" t="n">
        <v>63549799</v>
      </c>
      <c r="L171" s="6" t="n">
        <f aca="false">I171-F171</f>
        <v>4758229</v>
      </c>
      <c r="M171" s="7" t="n">
        <f aca="false">IFERROR((I171-F171)/F171,"")</f>
        <v>0.0361793712750651</v>
      </c>
      <c r="N171" s="6" t="n">
        <f aca="false">J171-G171</f>
        <v>0</v>
      </c>
      <c r="O171" s="8" t="n">
        <f aca="false">IFERROR((J171-G171)/G171,"")</f>
        <v>0</v>
      </c>
      <c r="P171" s="6" t="n">
        <f aca="false">K171-H171</f>
        <v>4440000</v>
      </c>
    </row>
    <row r="172" customFormat="false" ht="15" hidden="false" customHeight="false" outlineLevel="0" collapsed="false">
      <c r="A172" s="9" t="n">
        <v>168</v>
      </c>
      <c r="B172" s="9" t="s">
        <v>369</v>
      </c>
      <c r="C172" s="9" t="s">
        <v>370</v>
      </c>
      <c r="D172" s="9" t="s">
        <v>370</v>
      </c>
      <c r="E172" s="9" t="s">
        <v>23</v>
      </c>
      <c r="F172" s="10" t="n">
        <v>127664148</v>
      </c>
      <c r="G172" s="10" t="n">
        <v>3307711098</v>
      </c>
      <c r="H172" s="10" t="n">
        <v>13991407</v>
      </c>
      <c r="I172" s="10" t="n">
        <v>135957018</v>
      </c>
      <c r="J172" s="10" t="n">
        <v>3307711098</v>
      </c>
      <c r="K172" s="10" t="n">
        <v>18371307</v>
      </c>
      <c r="L172" s="11" t="n">
        <f aca="false">I172-F172</f>
        <v>8292870</v>
      </c>
      <c r="M172" s="12" t="n">
        <f aca="false">IFERROR((I172-F172)/F172,"")</f>
        <v>0.0649584877972162</v>
      </c>
      <c r="N172" s="11" t="n">
        <f aca="false">J172-G172</f>
        <v>0</v>
      </c>
      <c r="O172" s="13" t="n">
        <f aca="false">IFERROR((J172-G172)/G172,"")</f>
        <v>0</v>
      </c>
      <c r="P172" s="11" t="n">
        <f aca="false">K172-H172</f>
        <v>4379900</v>
      </c>
    </row>
    <row r="173" customFormat="false" ht="15" hidden="false" customHeight="false" outlineLevel="0" collapsed="false">
      <c r="A173" s="4" t="n">
        <v>169</v>
      </c>
      <c r="B173" s="4" t="s">
        <v>371</v>
      </c>
      <c r="C173" s="4" t="s">
        <v>372</v>
      </c>
      <c r="D173" s="4" t="s">
        <v>372</v>
      </c>
      <c r="E173" s="4" t="s">
        <v>23</v>
      </c>
      <c r="F173" s="5" t="n">
        <v>127008358</v>
      </c>
      <c r="G173" s="5" t="n">
        <v>2398383627</v>
      </c>
      <c r="H173" s="5" t="n">
        <v>266665</v>
      </c>
      <c r="I173" s="5" t="n">
        <v>135223218</v>
      </c>
      <c r="J173" s="5" t="n">
        <v>2398539732</v>
      </c>
      <c r="K173" s="5" t="n">
        <v>655100</v>
      </c>
      <c r="L173" s="6" t="n">
        <f aca="false">I173-F173</f>
        <v>8214860</v>
      </c>
      <c r="M173" s="7" t="n">
        <f aca="false">IFERROR((I173-F173)/F173,"")</f>
        <v>0.0646796803719012</v>
      </c>
      <c r="N173" s="6" t="n">
        <f aca="false">J173-G173</f>
        <v>156105</v>
      </c>
      <c r="O173" s="8" t="n">
        <f aca="false">IFERROR((J173-G173)/G173,"")</f>
        <v>6.50875857567718E-005</v>
      </c>
      <c r="P173" s="6" t="n">
        <f aca="false">K173-H173</f>
        <v>388435</v>
      </c>
    </row>
    <row r="174" customFormat="false" ht="15" hidden="false" customHeight="false" outlineLevel="0" collapsed="false">
      <c r="A174" s="9" t="n">
        <v>170</v>
      </c>
      <c r="B174" s="9" t="s">
        <v>373</v>
      </c>
      <c r="C174" s="9" t="s">
        <v>374</v>
      </c>
      <c r="D174" s="9" t="s">
        <v>374</v>
      </c>
      <c r="E174" s="9" t="s">
        <v>23</v>
      </c>
      <c r="F174" s="10" t="n">
        <v>125709939</v>
      </c>
      <c r="G174" s="10" t="n">
        <v>879054614</v>
      </c>
      <c r="H174" s="10" t="n">
        <v>54944678</v>
      </c>
      <c r="I174" s="10" t="n">
        <v>134802526</v>
      </c>
      <c r="J174" s="10" t="n">
        <v>879054614</v>
      </c>
      <c r="K174" s="10" t="n">
        <v>59213954</v>
      </c>
      <c r="L174" s="11" t="n">
        <f aca="false">I174-F174</f>
        <v>9092587</v>
      </c>
      <c r="M174" s="12" t="n">
        <f aca="false">IFERROR((I174-F174)/F174,"")</f>
        <v>0.0723298974793075</v>
      </c>
      <c r="N174" s="11" t="n">
        <f aca="false">J174-G174</f>
        <v>0</v>
      </c>
      <c r="O174" s="13" t="n">
        <f aca="false">IFERROR((J174-G174)/G174,"")</f>
        <v>0</v>
      </c>
      <c r="P174" s="11" t="n">
        <f aca="false">K174-H174</f>
        <v>4269276</v>
      </c>
    </row>
    <row r="175" customFormat="false" ht="15" hidden="false" customHeight="false" outlineLevel="0" collapsed="false">
      <c r="A175" s="4" t="n">
        <v>171</v>
      </c>
      <c r="B175" s="4" t="s">
        <v>375</v>
      </c>
      <c r="C175" s="4" t="s">
        <v>376</v>
      </c>
      <c r="D175" s="4" t="s">
        <v>376</v>
      </c>
      <c r="E175" s="4" t="s">
        <v>377</v>
      </c>
      <c r="F175" s="5" t="n">
        <v>134190649</v>
      </c>
      <c r="G175" s="5" t="n">
        <v>710370758</v>
      </c>
      <c r="H175" s="5" t="n">
        <v>19540647</v>
      </c>
      <c r="I175" s="5" t="n">
        <v>134311741</v>
      </c>
      <c r="J175" s="5" t="n">
        <v>710370758</v>
      </c>
      <c r="K175" s="5" t="n">
        <v>24359347</v>
      </c>
      <c r="L175" s="6" t="n">
        <f aca="false">I175-F175</f>
        <v>121092</v>
      </c>
      <c r="M175" s="7" t="n">
        <f aca="false">IFERROR((I175-F175)/F175,"")</f>
        <v>0.000902387766229523</v>
      </c>
      <c r="N175" s="6" t="n">
        <f aca="false">J175-G175</f>
        <v>0</v>
      </c>
      <c r="O175" s="8" t="n">
        <f aca="false">IFERROR((J175-G175)/G175,"")</f>
        <v>0</v>
      </c>
      <c r="P175" s="6" t="n">
        <f aca="false">K175-H175</f>
        <v>4818700</v>
      </c>
    </row>
    <row r="176" customFormat="false" ht="15" hidden="false" customHeight="false" outlineLevel="0" collapsed="false">
      <c r="A176" s="9" t="n">
        <v>172</v>
      </c>
      <c r="B176" s="9" t="s">
        <v>378</v>
      </c>
      <c r="C176" s="9" t="s">
        <v>379</v>
      </c>
      <c r="D176" s="9" t="s">
        <v>379</v>
      </c>
      <c r="E176" s="9" t="s">
        <v>23</v>
      </c>
      <c r="F176" s="10" t="n">
        <v>132217003</v>
      </c>
      <c r="G176" s="10" t="n">
        <v>5791815757</v>
      </c>
      <c r="H176" s="10" t="n">
        <v>191900</v>
      </c>
      <c r="I176" s="10" t="n">
        <v>133835384</v>
      </c>
      <c r="J176" s="10" t="n">
        <v>5791815757</v>
      </c>
      <c r="K176" s="10" t="n">
        <v>4639000</v>
      </c>
      <c r="L176" s="11" t="n">
        <f aca="false">I176-F176</f>
        <v>1618381</v>
      </c>
      <c r="M176" s="12" t="n">
        <f aca="false">IFERROR((I176-F176)/F176,"")</f>
        <v>0.012240339466778</v>
      </c>
      <c r="N176" s="11" t="n">
        <f aca="false">J176-G176</f>
        <v>0</v>
      </c>
      <c r="O176" s="13" t="n">
        <f aca="false">IFERROR((J176-G176)/G176,"")</f>
        <v>0</v>
      </c>
      <c r="P176" s="11" t="n">
        <f aca="false">K176-H176</f>
        <v>4447100</v>
      </c>
    </row>
    <row r="177" customFormat="false" ht="15" hidden="false" customHeight="false" outlineLevel="0" collapsed="false">
      <c r="A177" s="4" t="n">
        <v>173</v>
      </c>
      <c r="B177" s="4" t="s">
        <v>380</v>
      </c>
      <c r="C177" s="4" t="s">
        <v>381</v>
      </c>
      <c r="D177" s="4" t="s">
        <v>381</v>
      </c>
      <c r="E177" s="4" t="s">
        <v>23</v>
      </c>
      <c r="F177" s="5" t="n">
        <v>128659529</v>
      </c>
      <c r="G177" s="5" t="n">
        <v>1469247797</v>
      </c>
      <c r="H177" s="5" t="n">
        <v>10589427</v>
      </c>
      <c r="I177" s="5" t="n">
        <v>133525979</v>
      </c>
      <c r="J177" s="5" t="n">
        <v>1469247797</v>
      </c>
      <c r="K177" s="5" t="n">
        <v>15180927</v>
      </c>
      <c r="L177" s="6" t="n">
        <f aca="false">I177-F177</f>
        <v>4866450</v>
      </c>
      <c r="M177" s="7" t="n">
        <f aca="false">IFERROR((I177-F177)/F177,"")</f>
        <v>0.0378242485249577</v>
      </c>
      <c r="N177" s="6" t="n">
        <f aca="false">J177-G177</f>
        <v>0</v>
      </c>
      <c r="O177" s="8" t="n">
        <f aca="false">IFERROR((J177-G177)/G177,"")</f>
        <v>0</v>
      </c>
      <c r="P177" s="6" t="n">
        <f aca="false">K177-H177</f>
        <v>4591500</v>
      </c>
    </row>
    <row r="178" customFormat="false" ht="15" hidden="false" customHeight="false" outlineLevel="0" collapsed="false">
      <c r="A178" s="9" t="n">
        <v>174</v>
      </c>
      <c r="B178" s="9" t="s">
        <v>382</v>
      </c>
      <c r="C178" s="9" t="s">
        <v>383</v>
      </c>
      <c r="D178" s="9" t="s">
        <v>383</v>
      </c>
      <c r="E178" s="9" t="s">
        <v>23</v>
      </c>
      <c r="F178" s="10" t="n">
        <v>133458535</v>
      </c>
      <c r="G178" s="10" t="n">
        <v>2833268195</v>
      </c>
      <c r="H178" s="10" t="n">
        <v>3867287</v>
      </c>
      <c r="I178" s="10" t="n">
        <v>133205945</v>
      </c>
      <c r="J178" s="10" t="n">
        <v>2833268195</v>
      </c>
      <c r="K178" s="10" t="n">
        <v>8284687</v>
      </c>
      <c r="L178" s="14" t="n">
        <f aca="false">I178-F178</f>
        <v>-252590</v>
      </c>
      <c r="M178" s="23" t="n">
        <f aca="false">IFERROR((I178-F178)/F178,"")</f>
        <v>-0.00189264778007641</v>
      </c>
      <c r="N178" s="11" t="n">
        <f aca="false">J178-G178</f>
        <v>0</v>
      </c>
      <c r="O178" s="13" t="n">
        <f aca="false">IFERROR((J178-G178)/G178,"")</f>
        <v>0</v>
      </c>
      <c r="P178" s="11" t="n">
        <f aca="false">K178-H178</f>
        <v>4417400</v>
      </c>
    </row>
    <row r="179" customFormat="false" ht="15" hidden="false" customHeight="false" outlineLevel="0" collapsed="false">
      <c r="A179" s="4" t="n">
        <v>175</v>
      </c>
      <c r="B179" s="4" t="s">
        <v>384</v>
      </c>
      <c r="C179" s="4" t="s">
        <v>385</v>
      </c>
      <c r="D179" s="4" t="s">
        <v>385</v>
      </c>
      <c r="E179" s="4" t="s">
        <v>23</v>
      </c>
      <c r="F179" s="5" t="n">
        <v>131225536</v>
      </c>
      <c r="G179" s="5" t="n">
        <v>2018579719</v>
      </c>
      <c r="H179" s="5" t="n">
        <v>55982906</v>
      </c>
      <c r="I179" s="5" t="n">
        <v>133108450</v>
      </c>
      <c r="J179" s="5" t="n">
        <v>2018579719</v>
      </c>
      <c r="K179" s="5" t="n">
        <v>60408806</v>
      </c>
      <c r="L179" s="6" t="n">
        <f aca="false">I179-F179</f>
        <v>1882914</v>
      </c>
      <c r="M179" s="7" t="n">
        <f aca="false">IFERROR((I179-F179)/F179,"")</f>
        <v>0.0143486859143025</v>
      </c>
      <c r="N179" s="6" t="n">
        <f aca="false">J179-G179</f>
        <v>0</v>
      </c>
      <c r="O179" s="8" t="n">
        <f aca="false">IFERROR((J179-G179)/G179,"")</f>
        <v>0</v>
      </c>
      <c r="P179" s="6" t="n">
        <f aca="false">K179-H179</f>
        <v>4425900</v>
      </c>
    </row>
    <row r="180" customFormat="false" ht="15" hidden="false" customHeight="false" outlineLevel="0" collapsed="false">
      <c r="A180" s="9" t="n">
        <v>176</v>
      </c>
      <c r="B180" s="9" t="s">
        <v>386</v>
      </c>
      <c r="C180" s="9" t="s">
        <v>387</v>
      </c>
      <c r="D180" s="9" t="s">
        <v>387</v>
      </c>
      <c r="E180" s="9" t="s">
        <v>23</v>
      </c>
      <c r="F180" s="10" t="n">
        <v>131285891</v>
      </c>
      <c r="G180" s="10" t="n">
        <v>1213899164</v>
      </c>
      <c r="H180" s="10" t="n">
        <v>167100</v>
      </c>
      <c r="I180" s="10" t="n">
        <v>131951412</v>
      </c>
      <c r="J180" s="10" t="n">
        <v>1213899164</v>
      </c>
      <c r="K180" s="10" t="n">
        <v>894502</v>
      </c>
      <c r="L180" s="11" t="n">
        <f aca="false">I180-F180</f>
        <v>665521</v>
      </c>
      <c r="M180" s="12" t="n">
        <f aca="false">IFERROR((I180-F180)/F180,"")</f>
        <v>0.00506924997751663</v>
      </c>
      <c r="N180" s="11" t="n">
        <f aca="false">J180-G180</f>
        <v>0</v>
      </c>
      <c r="O180" s="13" t="n">
        <f aca="false">IFERROR((J180-G180)/G180,"")</f>
        <v>0</v>
      </c>
      <c r="P180" s="11" t="n">
        <f aca="false">K180-H180</f>
        <v>727402</v>
      </c>
    </row>
    <row r="181" customFormat="false" ht="15" hidden="false" customHeight="false" outlineLevel="0" collapsed="false">
      <c r="A181" s="4" t="n">
        <v>177</v>
      </c>
      <c r="B181" s="4" t="s">
        <v>388</v>
      </c>
      <c r="C181" s="4" t="s">
        <v>389</v>
      </c>
      <c r="D181" s="4" t="s">
        <v>389</v>
      </c>
      <c r="E181" s="4" t="s">
        <v>23</v>
      </c>
      <c r="F181" s="5" t="n">
        <v>126025936</v>
      </c>
      <c r="G181" s="5" t="n">
        <v>3000221061</v>
      </c>
      <c r="H181" s="5" t="n">
        <v>20754317</v>
      </c>
      <c r="I181" s="5" t="n">
        <v>131220436</v>
      </c>
      <c r="J181" s="5" t="n">
        <v>3000221061</v>
      </c>
      <c r="K181" s="5" t="n">
        <v>25225813</v>
      </c>
      <c r="L181" s="6" t="n">
        <f aca="false">I181-F181</f>
        <v>5194500</v>
      </c>
      <c r="M181" s="7" t="n">
        <f aca="false">IFERROR((I181-F181)/F181,"")</f>
        <v>0.0412177061712123</v>
      </c>
      <c r="N181" s="6" t="n">
        <f aca="false">J181-G181</f>
        <v>0</v>
      </c>
      <c r="O181" s="8" t="n">
        <f aca="false">IFERROR((J181-G181)/G181,"")</f>
        <v>0</v>
      </c>
      <c r="P181" s="6" t="n">
        <f aca="false">K181-H181</f>
        <v>4471496</v>
      </c>
    </row>
    <row r="182" customFormat="false" ht="15" hidden="false" customHeight="false" outlineLevel="0" collapsed="false">
      <c r="A182" s="9" t="n">
        <v>178</v>
      </c>
      <c r="B182" s="9" t="s">
        <v>390</v>
      </c>
      <c r="C182" s="9" t="s">
        <v>391</v>
      </c>
      <c r="D182" s="9" t="s">
        <v>391</v>
      </c>
      <c r="E182" s="9" t="s">
        <v>23</v>
      </c>
      <c r="F182" s="10" t="n">
        <v>126716702</v>
      </c>
      <c r="G182" s="10" t="n">
        <v>2101828535</v>
      </c>
      <c r="H182" s="10" t="n">
        <v>23140328</v>
      </c>
      <c r="I182" s="10" t="n">
        <v>130870224</v>
      </c>
      <c r="J182" s="10" t="n">
        <v>2101828535</v>
      </c>
      <c r="K182" s="10" t="n">
        <v>27571628</v>
      </c>
      <c r="L182" s="11" t="n">
        <f aca="false">I182-F182</f>
        <v>4153522</v>
      </c>
      <c r="M182" s="12" t="n">
        <f aca="false">IFERROR((I182-F182)/F182,"")</f>
        <v>0.032778015324294</v>
      </c>
      <c r="N182" s="11" t="n">
        <f aca="false">J182-G182</f>
        <v>0</v>
      </c>
      <c r="O182" s="13" t="n">
        <f aca="false">IFERROR((J182-G182)/G182,"")</f>
        <v>0</v>
      </c>
      <c r="P182" s="11" t="n">
        <f aca="false">K182-H182</f>
        <v>4431300</v>
      </c>
    </row>
    <row r="183" customFormat="false" ht="15" hidden="false" customHeight="false" outlineLevel="0" collapsed="false">
      <c r="A183" s="4" t="n">
        <v>179</v>
      </c>
      <c r="B183" s="4" t="s">
        <v>392</v>
      </c>
      <c r="C183" s="4" t="s">
        <v>393</v>
      </c>
      <c r="D183" s="4" t="s">
        <v>393</v>
      </c>
      <c r="E183" s="4" t="s">
        <v>23</v>
      </c>
      <c r="F183" s="5" t="n">
        <v>129543783</v>
      </c>
      <c r="G183" s="5" t="n">
        <v>497607203</v>
      </c>
      <c r="H183" s="5" t="n">
        <v>326200</v>
      </c>
      <c r="I183" s="5" t="n">
        <v>130044760</v>
      </c>
      <c r="J183" s="5" t="n">
        <v>497607203</v>
      </c>
      <c r="K183" s="5" t="n">
        <v>4502900</v>
      </c>
      <c r="L183" s="6" t="n">
        <f aca="false">I183-F183</f>
        <v>500977</v>
      </c>
      <c r="M183" s="7" t="n">
        <f aca="false">IFERROR((I183-F183)/F183,"")</f>
        <v>0.00386724077681134</v>
      </c>
      <c r="N183" s="6" t="n">
        <f aca="false">J183-G183</f>
        <v>0</v>
      </c>
      <c r="O183" s="8" t="n">
        <f aca="false">IFERROR((J183-G183)/G183,"")</f>
        <v>0</v>
      </c>
      <c r="P183" s="6" t="n">
        <f aca="false">K183-H183</f>
        <v>4176700</v>
      </c>
    </row>
    <row r="184" customFormat="false" ht="15" hidden="false" customHeight="false" outlineLevel="0" collapsed="false">
      <c r="A184" s="9" t="n">
        <v>180</v>
      </c>
      <c r="B184" s="9" t="s">
        <v>394</v>
      </c>
      <c r="C184" s="9" t="s">
        <v>395</v>
      </c>
      <c r="D184" s="9" t="s">
        <v>395</v>
      </c>
      <c r="E184" s="9" t="s">
        <v>23</v>
      </c>
      <c r="F184" s="10" t="n">
        <v>123849334</v>
      </c>
      <c r="G184" s="10" t="n">
        <v>1780321922</v>
      </c>
      <c r="H184" s="10" t="n">
        <v>79199618</v>
      </c>
      <c r="I184" s="10" t="n">
        <v>129715314</v>
      </c>
      <c r="J184" s="10" t="n">
        <v>1780321922</v>
      </c>
      <c r="K184" s="10" t="n">
        <v>83647093</v>
      </c>
      <c r="L184" s="11" t="n">
        <f aca="false">I184-F184</f>
        <v>5865980</v>
      </c>
      <c r="M184" s="12" t="n">
        <f aca="false">IFERROR((I184-F184)/F184,"")</f>
        <v>0.04736383967959</v>
      </c>
      <c r="N184" s="11" t="n">
        <f aca="false">J184-G184</f>
        <v>0</v>
      </c>
      <c r="O184" s="13" t="n">
        <f aca="false">IFERROR((J184-G184)/G184,"")</f>
        <v>0</v>
      </c>
      <c r="P184" s="11" t="n">
        <f aca="false">K184-H184</f>
        <v>4447475</v>
      </c>
    </row>
    <row r="185" customFormat="false" ht="15" hidden="false" customHeight="false" outlineLevel="0" collapsed="false">
      <c r="A185" s="4" t="n">
        <v>181</v>
      </c>
      <c r="B185" s="4" t="s">
        <v>396</v>
      </c>
      <c r="C185" s="4" t="s">
        <v>397</v>
      </c>
      <c r="D185" s="4" t="s">
        <v>397</v>
      </c>
      <c r="E185" s="4" t="s">
        <v>23</v>
      </c>
      <c r="F185" s="5" t="n">
        <v>126939541</v>
      </c>
      <c r="G185" s="5" t="n">
        <v>4458978388</v>
      </c>
      <c r="H185" s="5" t="n">
        <v>10076120</v>
      </c>
      <c r="I185" s="5" t="n">
        <v>129423664</v>
      </c>
      <c r="J185" s="5" t="n">
        <v>4458978388</v>
      </c>
      <c r="K185" s="5" t="n">
        <v>14672088</v>
      </c>
      <c r="L185" s="6" t="n">
        <f aca="false">I185-F185</f>
        <v>2484123</v>
      </c>
      <c r="M185" s="7" t="n">
        <f aca="false">IFERROR((I185-F185)/F185,"")</f>
        <v>0.0195693397063725</v>
      </c>
      <c r="N185" s="6" t="n">
        <f aca="false">J185-G185</f>
        <v>0</v>
      </c>
      <c r="O185" s="8" t="n">
        <f aca="false">IFERROR((J185-G185)/G185,"")</f>
        <v>0</v>
      </c>
      <c r="P185" s="6" t="n">
        <f aca="false">K185-H185</f>
        <v>4595968</v>
      </c>
    </row>
    <row r="186" customFormat="false" ht="15" hidden="false" customHeight="false" outlineLevel="0" collapsed="false">
      <c r="A186" s="9" t="n">
        <v>182</v>
      </c>
      <c r="B186" s="9" t="s">
        <v>398</v>
      </c>
      <c r="C186" s="9" t="s">
        <v>399</v>
      </c>
      <c r="D186" s="9" t="s">
        <v>399</v>
      </c>
      <c r="E186" s="9" t="s">
        <v>23</v>
      </c>
      <c r="F186" s="10" t="n">
        <v>128587965</v>
      </c>
      <c r="G186" s="10" t="n">
        <v>2104130270</v>
      </c>
      <c r="H186" s="10" t="n">
        <v>293000</v>
      </c>
      <c r="I186" s="10" t="n">
        <v>129226977</v>
      </c>
      <c r="J186" s="10" t="n">
        <v>2104130270</v>
      </c>
      <c r="K186" s="10" t="n">
        <v>4601464</v>
      </c>
      <c r="L186" s="11" t="n">
        <f aca="false">I186-F186</f>
        <v>639012</v>
      </c>
      <c r="M186" s="12" t="n">
        <f aca="false">IFERROR((I186-F186)/F186,"")</f>
        <v>0.00496945417870172</v>
      </c>
      <c r="N186" s="11" t="n">
        <f aca="false">J186-G186</f>
        <v>0</v>
      </c>
      <c r="O186" s="13" t="n">
        <f aca="false">IFERROR((J186-G186)/G186,"")</f>
        <v>0</v>
      </c>
      <c r="P186" s="11" t="n">
        <f aca="false">K186-H186</f>
        <v>4308464</v>
      </c>
    </row>
    <row r="187" customFormat="false" ht="15" hidden="false" customHeight="false" outlineLevel="0" collapsed="false">
      <c r="A187" s="4" t="n">
        <v>183</v>
      </c>
      <c r="B187" s="4" t="s">
        <v>400</v>
      </c>
      <c r="C187" s="4" t="s">
        <v>401</v>
      </c>
      <c r="D187" s="4" t="s">
        <v>401</v>
      </c>
      <c r="E187" s="4" t="s">
        <v>23</v>
      </c>
      <c r="F187" s="5" t="n">
        <v>124508371</v>
      </c>
      <c r="G187" s="5" t="n">
        <v>1036274905</v>
      </c>
      <c r="H187" s="5" t="n">
        <v>142800</v>
      </c>
      <c r="I187" s="5" t="n">
        <v>126630271</v>
      </c>
      <c r="J187" s="5" t="n">
        <v>1036274905</v>
      </c>
      <c r="K187" s="5" t="n">
        <v>4586600</v>
      </c>
      <c r="L187" s="6" t="n">
        <f aca="false">I187-F187</f>
        <v>2121900</v>
      </c>
      <c r="M187" s="7" t="n">
        <f aca="false">IFERROR((I187-F187)/F187,"")</f>
        <v>0.0170422276266067</v>
      </c>
      <c r="N187" s="6" t="n">
        <f aca="false">J187-G187</f>
        <v>0</v>
      </c>
      <c r="O187" s="8" t="n">
        <f aca="false">IFERROR((J187-G187)/G187,"")</f>
        <v>0</v>
      </c>
      <c r="P187" s="6" t="n">
        <f aca="false">K187-H187</f>
        <v>4443800</v>
      </c>
    </row>
    <row r="188" customFormat="false" ht="15" hidden="false" customHeight="false" outlineLevel="0" collapsed="false">
      <c r="A188" s="9" t="n">
        <v>184</v>
      </c>
      <c r="B188" s="9" t="s">
        <v>402</v>
      </c>
      <c r="C188" s="9" t="s">
        <v>403</v>
      </c>
      <c r="D188" s="9" t="s">
        <v>403</v>
      </c>
      <c r="E188" s="9" t="s">
        <v>23</v>
      </c>
      <c r="F188" s="10" t="n">
        <v>124476883</v>
      </c>
      <c r="G188" s="10" t="n">
        <v>3105993210</v>
      </c>
      <c r="H188" s="10" t="n">
        <v>150300</v>
      </c>
      <c r="I188" s="10" t="n">
        <v>126039213</v>
      </c>
      <c r="J188" s="10" t="n">
        <v>3105993210</v>
      </c>
      <c r="K188" s="10" t="n">
        <v>4688800</v>
      </c>
      <c r="L188" s="11" t="n">
        <f aca="false">I188-F188</f>
        <v>1562330</v>
      </c>
      <c r="M188" s="12" t="n">
        <f aca="false">IFERROR((I188-F188)/F188,"")</f>
        <v>0.012551165825706</v>
      </c>
      <c r="N188" s="11" t="n">
        <f aca="false">J188-G188</f>
        <v>0</v>
      </c>
      <c r="O188" s="13" t="n">
        <f aca="false">IFERROR((J188-G188)/G188,"")</f>
        <v>0</v>
      </c>
      <c r="P188" s="11" t="n">
        <f aca="false">K188-H188</f>
        <v>4538500</v>
      </c>
    </row>
    <row r="189" customFormat="false" ht="15" hidden="false" customHeight="false" outlineLevel="0" collapsed="false">
      <c r="A189" s="4" t="n">
        <v>185</v>
      </c>
      <c r="B189" s="4" t="s">
        <v>404</v>
      </c>
      <c r="C189" s="4" t="s">
        <v>405</v>
      </c>
      <c r="D189" s="4" t="s">
        <v>405</v>
      </c>
      <c r="E189" s="4" t="s">
        <v>406</v>
      </c>
      <c r="F189" s="5" t="n">
        <v>120796574</v>
      </c>
      <c r="G189" s="5" t="n">
        <v>939836890</v>
      </c>
      <c r="H189" s="5" t="n">
        <v>12283308</v>
      </c>
      <c r="I189" s="5" t="n">
        <v>125733239</v>
      </c>
      <c r="J189" s="5" t="n">
        <v>939836890</v>
      </c>
      <c r="K189" s="5" t="n">
        <v>16750008</v>
      </c>
      <c r="L189" s="6" t="n">
        <f aca="false">I189-F189</f>
        <v>4936665</v>
      </c>
      <c r="M189" s="7" t="n">
        <f aca="false">IFERROR((I189-F189)/F189,"")</f>
        <v>0.0408675911619811</v>
      </c>
      <c r="N189" s="6" t="n">
        <f aca="false">J189-G189</f>
        <v>0</v>
      </c>
      <c r="O189" s="8" t="n">
        <f aca="false">IFERROR((J189-G189)/G189,"")</f>
        <v>0</v>
      </c>
      <c r="P189" s="6" t="n">
        <f aca="false">K189-H189</f>
        <v>4466700</v>
      </c>
    </row>
    <row r="190" customFormat="false" ht="15" hidden="false" customHeight="false" outlineLevel="0" collapsed="false">
      <c r="A190" s="9" t="n">
        <v>186</v>
      </c>
      <c r="B190" s="9" t="s">
        <v>407</v>
      </c>
      <c r="C190" s="9" t="s">
        <v>408</v>
      </c>
      <c r="D190" s="9" t="s">
        <v>408</v>
      </c>
      <c r="E190" s="9" t="s">
        <v>23</v>
      </c>
      <c r="F190" s="10" t="n">
        <v>124368478</v>
      </c>
      <c r="G190" s="10" t="n">
        <v>626898003</v>
      </c>
      <c r="H190" s="10" t="n">
        <v>4211540</v>
      </c>
      <c r="I190" s="10" t="n">
        <v>125533110</v>
      </c>
      <c r="J190" s="10" t="n">
        <v>626898003</v>
      </c>
      <c r="K190" s="10" t="n">
        <v>8716974</v>
      </c>
      <c r="L190" s="11" t="n">
        <f aca="false">I190-F190</f>
        <v>1164632</v>
      </c>
      <c r="M190" s="12" t="n">
        <f aca="false">IFERROR((I190-F190)/F190,"")</f>
        <v>0.00936436642731931</v>
      </c>
      <c r="N190" s="11" t="n">
        <f aca="false">J190-G190</f>
        <v>0</v>
      </c>
      <c r="O190" s="13" t="n">
        <f aca="false">IFERROR((J190-G190)/G190,"")</f>
        <v>0</v>
      </c>
      <c r="P190" s="11" t="n">
        <f aca="false">K190-H190</f>
        <v>4505434</v>
      </c>
    </row>
    <row r="191" customFormat="false" ht="15" hidden="false" customHeight="false" outlineLevel="0" collapsed="false">
      <c r="A191" s="4" t="n">
        <v>187</v>
      </c>
      <c r="B191" s="4" t="s">
        <v>409</v>
      </c>
      <c r="C191" s="4" t="s">
        <v>410</v>
      </c>
      <c r="D191" s="4" t="s">
        <v>410</v>
      </c>
      <c r="E191" s="4" t="s">
        <v>23</v>
      </c>
      <c r="F191" s="5" t="n">
        <v>123288367</v>
      </c>
      <c r="G191" s="5" t="n">
        <v>3634319100</v>
      </c>
      <c r="H191" s="5" t="n">
        <v>111829</v>
      </c>
      <c r="I191" s="5" t="n">
        <v>124386084</v>
      </c>
      <c r="J191" s="5" t="n">
        <v>3634319100</v>
      </c>
      <c r="K191" s="5" t="n">
        <v>4662229</v>
      </c>
      <c r="L191" s="6" t="n">
        <f aca="false">I191-F191</f>
        <v>1097717</v>
      </c>
      <c r="M191" s="7" t="n">
        <f aca="false">IFERROR((I191-F191)/F191,"")</f>
        <v>0.00890365430827711</v>
      </c>
      <c r="N191" s="6" t="n">
        <f aca="false">J191-G191</f>
        <v>0</v>
      </c>
      <c r="O191" s="8" t="n">
        <f aca="false">IFERROR((J191-G191)/G191,"")</f>
        <v>0</v>
      </c>
      <c r="P191" s="6" t="n">
        <f aca="false">K191-H191</f>
        <v>4550400</v>
      </c>
    </row>
    <row r="192" customFormat="false" ht="15" hidden="false" customHeight="false" outlineLevel="0" collapsed="false">
      <c r="A192" s="9" t="n">
        <v>188</v>
      </c>
      <c r="B192" s="9" t="s">
        <v>411</v>
      </c>
      <c r="C192" s="9" t="s">
        <v>412</v>
      </c>
      <c r="D192" s="9" t="s">
        <v>412</v>
      </c>
      <c r="E192" s="9" t="s">
        <v>23</v>
      </c>
      <c r="F192" s="10" t="n">
        <v>124078510</v>
      </c>
      <c r="G192" s="10" t="n">
        <v>5968916477</v>
      </c>
      <c r="H192" s="10" t="n">
        <v>56000</v>
      </c>
      <c r="I192" s="10" t="n">
        <v>123871546</v>
      </c>
      <c r="J192" s="10" t="n">
        <v>5968916477</v>
      </c>
      <c r="K192" s="10" t="n">
        <v>171900</v>
      </c>
      <c r="L192" s="14" t="n">
        <f aca="false">I192-F192</f>
        <v>-206964</v>
      </c>
      <c r="M192" s="23" t="n">
        <f aca="false">IFERROR((I192-F192)/F192,"")</f>
        <v>-0.00166800842466596</v>
      </c>
      <c r="N192" s="11" t="n">
        <f aca="false">J192-G192</f>
        <v>0</v>
      </c>
      <c r="O192" s="13" t="n">
        <f aca="false">IFERROR((J192-G192)/G192,"")</f>
        <v>0</v>
      </c>
      <c r="P192" s="11" t="n">
        <f aca="false">K192-H192</f>
        <v>115900</v>
      </c>
    </row>
    <row r="193" customFormat="false" ht="15" hidden="false" customHeight="false" outlineLevel="0" collapsed="false">
      <c r="A193" s="4" t="n">
        <v>189</v>
      </c>
      <c r="B193" s="4" t="s">
        <v>413</v>
      </c>
      <c r="C193" s="4" t="s">
        <v>414</v>
      </c>
      <c r="D193" s="4" t="s">
        <v>414</v>
      </c>
      <c r="E193" s="4" t="s">
        <v>23</v>
      </c>
      <c r="F193" s="5" t="n">
        <v>120696688</v>
      </c>
      <c r="G193" s="5" t="n">
        <v>753891557</v>
      </c>
      <c r="H193" s="5" t="n">
        <v>171000</v>
      </c>
      <c r="I193" s="5" t="n">
        <v>122601166</v>
      </c>
      <c r="J193" s="5" t="n">
        <v>753891557</v>
      </c>
      <c r="K193" s="5" t="n">
        <v>4673826</v>
      </c>
      <c r="L193" s="6" t="n">
        <f aca="false">I193-F193</f>
        <v>1904478</v>
      </c>
      <c r="M193" s="7" t="n">
        <f aca="false">IFERROR((I193-F193)/F193,"")</f>
        <v>0.0157790410951459</v>
      </c>
      <c r="N193" s="6" t="n">
        <f aca="false">J193-G193</f>
        <v>0</v>
      </c>
      <c r="O193" s="8" t="n">
        <f aca="false">IFERROR((J193-G193)/G193,"")</f>
        <v>0</v>
      </c>
      <c r="P193" s="6" t="n">
        <f aca="false">K193-H193</f>
        <v>4502826</v>
      </c>
    </row>
    <row r="194" customFormat="false" ht="15" hidden="false" customHeight="false" outlineLevel="0" collapsed="false">
      <c r="A194" s="9" t="n">
        <v>190</v>
      </c>
      <c r="B194" s="9" t="s">
        <v>415</v>
      </c>
      <c r="C194" s="9" t="s">
        <v>416</v>
      </c>
      <c r="D194" s="9" t="s">
        <v>416</v>
      </c>
      <c r="E194" s="9" t="s">
        <v>23</v>
      </c>
      <c r="F194" s="10" t="n">
        <v>119604115</v>
      </c>
      <c r="G194" s="10" t="n">
        <v>5460923291</v>
      </c>
      <c r="H194" s="10" t="n">
        <v>24055360</v>
      </c>
      <c r="I194" s="10" t="n">
        <v>122589253</v>
      </c>
      <c r="J194" s="10" t="n">
        <v>5460923291</v>
      </c>
      <c r="K194" s="10" t="n">
        <v>28752979</v>
      </c>
      <c r="L194" s="11" t="n">
        <f aca="false">I194-F194</f>
        <v>2985138</v>
      </c>
      <c r="M194" s="12" t="n">
        <f aca="false">IFERROR((I194-F194)/F194,"")</f>
        <v>0.024958489095463</v>
      </c>
      <c r="N194" s="11" t="n">
        <f aca="false">J194-G194</f>
        <v>0</v>
      </c>
      <c r="O194" s="13" t="n">
        <f aca="false">IFERROR((J194-G194)/G194,"")</f>
        <v>0</v>
      </c>
      <c r="P194" s="11" t="n">
        <f aca="false">K194-H194</f>
        <v>4697619</v>
      </c>
    </row>
    <row r="195" customFormat="false" ht="15" hidden="false" customHeight="false" outlineLevel="0" collapsed="false">
      <c r="A195" s="4" t="n">
        <v>191</v>
      </c>
      <c r="B195" s="4" t="s">
        <v>417</v>
      </c>
      <c r="C195" s="4" t="s">
        <v>418</v>
      </c>
      <c r="D195" s="4" t="s">
        <v>418</v>
      </c>
      <c r="E195" s="4" t="s">
        <v>419</v>
      </c>
      <c r="F195" s="5" t="n">
        <v>114155645</v>
      </c>
      <c r="G195" s="5" t="n">
        <v>1214919955</v>
      </c>
      <c r="H195" s="5" t="n">
        <v>78359378</v>
      </c>
      <c r="I195" s="5" t="n">
        <v>121990497</v>
      </c>
      <c r="J195" s="5" t="n">
        <v>1214919955</v>
      </c>
      <c r="K195" s="5" t="n">
        <v>82930778</v>
      </c>
      <c r="L195" s="6" t="n">
        <f aca="false">I195-F195</f>
        <v>7834852</v>
      </c>
      <c r="M195" s="7" t="n">
        <f aca="false">IFERROR((I195-F195)/F195,"")</f>
        <v>0.0686330667221932</v>
      </c>
      <c r="N195" s="6" t="n">
        <f aca="false">J195-G195</f>
        <v>0</v>
      </c>
      <c r="O195" s="8" t="n">
        <f aca="false">IFERROR((J195-G195)/G195,"")</f>
        <v>0</v>
      </c>
      <c r="P195" s="6" t="n">
        <f aca="false">K195-H195</f>
        <v>4571400</v>
      </c>
    </row>
    <row r="196" customFormat="false" ht="15" hidden="false" customHeight="false" outlineLevel="0" collapsed="false">
      <c r="A196" s="9" t="n">
        <v>192</v>
      </c>
      <c r="B196" s="9" t="s">
        <v>420</v>
      </c>
      <c r="C196" s="9" t="s">
        <v>421</v>
      </c>
      <c r="D196" s="9" t="s">
        <v>421</v>
      </c>
      <c r="E196" s="9" t="s">
        <v>23</v>
      </c>
      <c r="F196" s="10" t="n">
        <v>113847890</v>
      </c>
      <c r="G196" s="10" t="n">
        <v>856282541</v>
      </c>
      <c r="H196" s="10" t="n">
        <v>54864589</v>
      </c>
      <c r="I196" s="10" t="n">
        <v>120412891</v>
      </c>
      <c r="J196" s="10" t="n">
        <v>856282541</v>
      </c>
      <c r="K196" s="10" t="n">
        <v>59241089</v>
      </c>
      <c r="L196" s="11" t="n">
        <f aca="false">I196-F196</f>
        <v>6565001</v>
      </c>
      <c r="M196" s="12" t="n">
        <f aca="false">IFERROR((I196-F196)/F196,"")</f>
        <v>0.0576646699381078</v>
      </c>
      <c r="N196" s="11" t="n">
        <f aca="false">J196-G196</f>
        <v>0</v>
      </c>
      <c r="O196" s="13" t="n">
        <f aca="false">IFERROR((J196-G196)/G196,"")</f>
        <v>0</v>
      </c>
      <c r="P196" s="11" t="n">
        <f aca="false">K196-H196</f>
        <v>4376500</v>
      </c>
    </row>
    <row r="197" customFormat="false" ht="15" hidden="false" customHeight="false" outlineLevel="0" collapsed="false">
      <c r="A197" s="4" t="n">
        <v>193</v>
      </c>
      <c r="B197" s="4" t="s">
        <v>422</v>
      </c>
      <c r="C197" s="4" t="s">
        <v>423</v>
      </c>
      <c r="D197" s="4" t="s">
        <v>423</v>
      </c>
      <c r="E197" s="4" t="s">
        <v>23</v>
      </c>
      <c r="F197" s="5" t="n">
        <v>117274447</v>
      </c>
      <c r="G197" s="5" t="n">
        <v>1114355533</v>
      </c>
      <c r="H197" s="5" t="n">
        <v>148500</v>
      </c>
      <c r="I197" s="5" t="n">
        <v>119396563</v>
      </c>
      <c r="J197" s="5" t="n">
        <v>1114355533</v>
      </c>
      <c r="K197" s="5" t="n">
        <v>4668980</v>
      </c>
      <c r="L197" s="6" t="n">
        <f aca="false">I197-F197</f>
        <v>2122116</v>
      </c>
      <c r="M197" s="7" t="n">
        <f aca="false">IFERROR((I197-F197)/F197,"")</f>
        <v>0.0180952974350841</v>
      </c>
      <c r="N197" s="6" t="n">
        <f aca="false">J197-G197</f>
        <v>0</v>
      </c>
      <c r="O197" s="8" t="n">
        <f aca="false">IFERROR((J197-G197)/G197,"")</f>
        <v>0</v>
      </c>
      <c r="P197" s="6" t="n">
        <f aca="false">K197-H197</f>
        <v>4520480</v>
      </c>
    </row>
    <row r="198" customFormat="false" ht="15" hidden="false" customHeight="false" outlineLevel="0" collapsed="false">
      <c r="A198" s="9" t="n">
        <v>194</v>
      </c>
      <c r="B198" s="9" t="s">
        <v>424</v>
      </c>
      <c r="C198" s="9" t="s">
        <v>425</v>
      </c>
      <c r="D198" s="9" t="s">
        <v>425</v>
      </c>
      <c r="E198" s="9" t="s">
        <v>23</v>
      </c>
      <c r="F198" s="10" t="n">
        <v>105144012</v>
      </c>
      <c r="G198" s="10" t="n">
        <v>450287336</v>
      </c>
      <c r="H198" s="10" t="n">
        <v>11658630</v>
      </c>
      <c r="I198" s="10" t="n">
        <v>111231939</v>
      </c>
      <c r="J198" s="10" t="n">
        <v>450287336</v>
      </c>
      <c r="K198" s="10" t="n">
        <v>15915830</v>
      </c>
      <c r="L198" s="11" t="n">
        <f aca="false">I198-F198</f>
        <v>6087927</v>
      </c>
      <c r="M198" s="12" t="n">
        <f aca="false">IFERROR((I198-F198)/F198,"")</f>
        <v>0.0579008436543205</v>
      </c>
      <c r="N198" s="11" t="n">
        <f aca="false">J198-G198</f>
        <v>0</v>
      </c>
      <c r="O198" s="13" t="n">
        <f aca="false">IFERROR((J198-G198)/G198,"")</f>
        <v>0</v>
      </c>
      <c r="P198" s="11" t="n">
        <f aca="false">K198-H198</f>
        <v>4257200</v>
      </c>
    </row>
    <row r="199" customFormat="false" ht="15" hidden="false" customHeight="false" outlineLevel="0" collapsed="false">
      <c r="A199" s="4" t="n">
        <v>195</v>
      </c>
      <c r="B199" s="4" t="s">
        <v>426</v>
      </c>
      <c r="C199" s="4" t="s">
        <v>427</v>
      </c>
      <c r="D199" s="4" t="s">
        <v>427</v>
      </c>
      <c r="E199" s="4" t="s">
        <v>23</v>
      </c>
      <c r="F199" s="5" t="n">
        <v>107694397</v>
      </c>
      <c r="G199" s="5" t="n">
        <v>3236827577</v>
      </c>
      <c r="H199" s="5" t="n">
        <v>209300</v>
      </c>
      <c r="I199" s="5" t="n">
        <v>108902634</v>
      </c>
      <c r="J199" s="5" t="n">
        <v>3236827577</v>
      </c>
      <c r="K199" s="5" t="n">
        <v>4721900</v>
      </c>
      <c r="L199" s="6" t="n">
        <f aca="false">I199-F199</f>
        <v>1208237</v>
      </c>
      <c r="M199" s="7" t="n">
        <f aca="false">IFERROR((I199-F199)/F199,"")</f>
        <v>0.0112191259123722</v>
      </c>
      <c r="N199" s="6" t="n">
        <f aca="false">J199-G199</f>
        <v>0</v>
      </c>
      <c r="O199" s="8" t="n">
        <f aca="false">IFERROR((J199-G199)/G199,"")</f>
        <v>0</v>
      </c>
      <c r="P199" s="6" t="n">
        <f aca="false">K199-H199</f>
        <v>4512600</v>
      </c>
    </row>
    <row r="200" customFormat="false" ht="15" hidden="false" customHeight="false" outlineLevel="0" collapsed="false">
      <c r="A200" s="9" t="n">
        <v>196</v>
      </c>
      <c r="B200" s="9" t="s">
        <v>428</v>
      </c>
      <c r="C200" s="9" t="s">
        <v>429</v>
      </c>
      <c r="D200" s="9" t="s">
        <v>429</v>
      </c>
      <c r="E200" s="9" t="s">
        <v>23</v>
      </c>
      <c r="F200" s="10" t="n">
        <v>104668886</v>
      </c>
      <c r="G200" s="10" t="n">
        <v>1627173555</v>
      </c>
      <c r="H200" s="10" t="n">
        <v>2028439</v>
      </c>
      <c r="I200" s="10" t="n">
        <v>107950373</v>
      </c>
      <c r="J200" s="10" t="n">
        <v>1627173555</v>
      </c>
      <c r="K200" s="10" t="n">
        <v>6643151</v>
      </c>
      <c r="L200" s="11" t="n">
        <f aca="false">I200-F200</f>
        <v>3281487</v>
      </c>
      <c r="M200" s="12" t="n">
        <f aca="false">IFERROR((I200-F200)/F200,"")</f>
        <v>0.0313511218606072</v>
      </c>
      <c r="N200" s="11" t="n">
        <f aca="false">J200-G200</f>
        <v>0</v>
      </c>
      <c r="O200" s="13" t="n">
        <f aca="false">IFERROR((J200-G200)/G200,"")</f>
        <v>0</v>
      </c>
      <c r="P200" s="11" t="n">
        <f aca="false">K200-H200</f>
        <v>4614712</v>
      </c>
    </row>
    <row r="201" customFormat="false" ht="15" hidden="false" customHeight="false" outlineLevel="0" collapsed="false">
      <c r="A201" s="4" t="n">
        <v>197</v>
      </c>
      <c r="B201" s="4" t="s">
        <v>430</v>
      </c>
      <c r="C201" s="4" t="s">
        <v>431</v>
      </c>
      <c r="D201" s="4" t="s">
        <v>431</v>
      </c>
      <c r="E201" s="4" t="s">
        <v>23</v>
      </c>
      <c r="F201" s="5" t="n">
        <v>85130665</v>
      </c>
      <c r="G201" s="5" t="n">
        <v>110780163</v>
      </c>
      <c r="H201" s="5" t="n">
        <v>20943831</v>
      </c>
      <c r="I201" s="5" t="n">
        <v>85148484</v>
      </c>
      <c r="J201" s="5" t="n">
        <v>110780163</v>
      </c>
      <c r="K201" s="5" t="n">
        <v>25618131</v>
      </c>
      <c r="L201" s="6" t="n">
        <f aca="false">I201-F201</f>
        <v>17819</v>
      </c>
      <c r="M201" s="7" t="n">
        <f aca="false">IFERROR((I201-F201)/F201,"")</f>
        <v>0.000209313529971838</v>
      </c>
      <c r="N201" s="6" t="n">
        <f aca="false">J201-G201</f>
        <v>0</v>
      </c>
      <c r="O201" s="8" t="n">
        <f aca="false">IFERROR((J201-G201)/G201,"")</f>
        <v>0</v>
      </c>
      <c r="P201" s="6" t="n">
        <f aca="false">K201-H201</f>
        <v>4674300</v>
      </c>
    </row>
    <row r="202" customFormat="false" ht="15" hidden="false" customHeight="false" outlineLevel="0" collapsed="false">
      <c r="A202" s="25" t="n">
        <v>198</v>
      </c>
      <c r="B202" s="25" t="s">
        <v>432</v>
      </c>
      <c r="C202" s="25" t="s">
        <v>433</v>
      </c>
      <c r="D202" s="25"/>
      <c r="E202" s="25" t="s">
        <v>434</v>
      </c>
      <c r="F202" s="26" t="n">
        <v>193986975</v>
      </c>
      <c r="G202" s="26" t="n">
        <v>6370896410</v>
      </c>
      <c r="H202" s="26" t="n">
        <v>12066904</v>
      </c>
      <c r="I202" s="26"/>
      <c r="J202" s="26"/>
      <c r="K202" s="26"/>
      <c r="L202" s="27"/>
      <c r="M202" s="27"/>
      <c r="N202" s="27"/>
      <c r="O202" s="27"/>
      <c r="P202" s="27"/>
    </row>
    <row r="204" customFormat="false" ht="15" hidden="false" customHeight="false" outlineLevel="0" collapsed="false">
      <c r="C204" s="28" t="s">
        <v>435</v>
      </c>
      <c r="F204" s="29" t="n">
        <f aca="false">SUM(F5:F202)</f>
        <v>33530969451</v>
      </c>
      <c r="G204" s="29" t="n">
        <f aca="false">SUM(G5:G202)</f>
        <v>1129138990671</v>
      </c>
      <c r="H204" s="29" t="n">
        <f aca="false">SUM(H5:H202)</f>
        <v>3263694167</v>
      </c>
      <c r="I204" s="29" t="n">
        <f aca="false">SUM(I5:I202)</f>
        <v>34336244343</v>
      </c>
      <c r="J204" s="29" t="n">
        <f aca="false">SUM(J5:J202)</f>
        <v>1122773446681</v>
      </c>
      <c r="K204" s="29" t="n">
        <f aca="false">SUM(K5:K202)</f>
        <v>3858727139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4" min="3" style="0" width="20"/>
    <col collapsed="false" customWidth="true" hidden="false" outlineLevel="0" max="6" min="5" style="0" width="9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55"/>
    <col collapsed="false" customWidth="true" hidden="false" outlineLevel="0" max="13" min="13" style="0" width="12"/>
    <col collapsed="false" customWidth="true" hidden="false" outlineLevel="0" max="14" min="14" style="0" width="18"/>
  </cols>
  <sheetData>
    <row r="1" customFormat="false" ht="16.15" hidden="false" customHeight="false" outlineLevel="0" collapsed="false">
      <c r="A1" s="1" t="s">
        <v>436</v>
      </c>
    </row>
    <row r="3" customFormat="false" ht="15" hidden="false" customHeight="false" outlineLevel="0" collapsed="false">
      <c r="A3" s="30" t="s">
        <v>437</v>
      </c>
      <c r="B3" s="30" t="s">
        <v>438</v>
      </c>
      <c r="C3" s="30" t="s">
        <v>439</v>
      </c>
      <c r="D3" s="30" t="s">
        <v>440</v>
      </c>
      <c r="E3" s="30" t="s">
        <v>441</v>
      </c>
    </row>
    <row r="4" customFormat="false" ht="15" hidden="false" customHeight="false" outlineLevel="0" collapsed="false">
      <c r="A4" s="31" t="s">
        <v>442</v>
      </c>
      <c r="B4" s="32" t="n">
        <v>198</v>
      </c>
      <c r="C4" s="32" t="n">
        <v>197</v>
      </c>
      <c r="D4" s="32" t="n">
        <f aca="false">C4-B4</f>
        <v>-1</v>
      </c>
      <c r="E4" s="33" t="n">
        <f aca="false">IFERROR((C4-B4)/B4,"")</f>
        <v>-0.00505050505050505</v>
      </c>
    </row>
    <row r="5" customFormat="false" ht="15" hidden="false" customHeight="false" outlineLevel="0" collapsed="false">
      <c r="A5" s="31" t="s">
        <v>443</v>
      </c>
      <c r="B5" s="32" t="n">
        <v>33530969451</v>
      </c>
      <c r="C5" s="32" t="n">
        <v>34336244343</v>
      </c>
      <c r="D5" s="32" t="n">
        <f aca="false">C5-B5</f>
        <v>805274892</v>
      </c>
      <c r="E5" s="33" t="n">
        <f aca="false">IFERROR((C5-B5)/B5,"")</f>
        <v>0.0240158547511362</v>
      </c>
    </row>
    <row r="6" customFormat="false" ht="15" hidden="false" customHeight="false" outlineLevel="0" collapsed="false">
      <c r="A6" s="31" t="s">
        <v>444</v>
      </c>
      <c r="B6" s="32" t="n">
        <v>1129138990671</v>
      </c>
      <c r="C6" s="32" t="n">
        <v>1122773446681</v>
      </c>
      <c r="D6" s="32" t="n">
        <f aca="false">C6-B6</f>
        <v>-6365543990</v>
      </c>
      <c r="E6" s="33" t="n">
        <f aca="false">IFERROR((C6-B6)/B6,"")</f>
        <v>-0.0056375203075905</v>
      </c>
    </row>
    <row r="7" customFormat="false" ht="15" hidden="false" customHeight="false" outlineLevel="0" collapsed="false">
      <c r="A7" s="31" t="s">
        <v>445</v>
      </c>
      <c r="B7" s="32" t="n">
        <v>3263694167</v>
      </c>
      <c r="C7" s="32" t="n">
        <v>3858727139</v>
      </c>
      <c r="D7" s="32" t="n">
        <f aca="false">C7-B7</f>
        <v>595032972</v>
      </c>
      <c r="E7" s="33" t="n">
        <f aca="false">IFERROR((C7-B7)/B7,"")</f>
        <v>0.182318851446475</v>
      </c>
    </row>
    <row r="9" customFormat="false" ht="15" hidden="false" customHeight="false" outlineLevel="0" collapsed="false">
      <c r="A9" s="34" t="s">
        <v>446</v>
      </c>
    </row>
    <row r="11" customFormat="false" ht="15" hidden="false" customHeight="false" outlineLevel="0" collapsed="false">
      <c r="A11" s="35" t="s">
        <v>447</v>
      </c>
    </row>
    <row r="12" customFormat="false" ht="15" hidden="false" customHeight="false" outlineLevel="0" collapsed="false">
      <c r="A12" s="30" t="s">
        <v>2</v>
      </c>
      <c r="B12" s="30" t="s">
        <v>448</v>
      </c>
      <c r="C12" s="30" t="s">
        <v>449</v>
      </c>
      <c r="D12" s="30" t="s">
        <v>450</v>
      </c>
      <c r="E12" s="30" t="s">
        <v>15</v>
      </c>
      <c r="F12" s="30" t="s">
        <v>6</v>
      </c>
    </row>
    <row r="13" customFormat="false" ht="15" hidden="false" customHeight="false" outlineLevel="0" collapsed="false">
      <c r="A13" s="36" t="n">
        <v>1</v>
      </c>
      <c r="B13" s="36" t="s">
        <v>200</v>
      </c>
      <c r="C13" s="37" t="n">
        <v>9050577564</v>
      </c>
      <c r="D13" s="37" t="n">
        <v>9055708478</v>
      </c>
      <c r="E13" s="38" t="n">
        <f aca="false">D13-C13</f>
        <v>5130914</v>
      </c>
      <c r="F13" s="36" t="s">
        <v>451</v>
      </c>
    </row>
    <row r="14" customFormat="false" ht="15" hidden="false" customHeight="false" outlineLevel="0" collapsed="false">
      <c r="A14" s="39" t="n">
        <v>2</v>
      </c>
      <c r="B14" s="39" t="s">
        <v>372</v>
      </c>
      <c r="C14" s="40" t="n">
        <v>2398383627</v>
      </c>
      <c r="D14" s="40" t="n">
        <v>2398539732</v>
      </c>
      <c r="E14" s="41" t="n">
        <f aca="false">D14-C14</f>
        <v>156105</v>
      </c>
      <c r="F14" s="39" t="s">
        <v>451</v>
      </c>
    </row>
    <row r="15" customFormat="false" ht="15" hidden="false" customHeight="false" outlineLevel="0" collapsed="false">
      <c r="A15" s="42" t="n">
        <v>3</v>
      </c>
      <c r="B15" s="42" t="s">
        <v>241</v>
      </c>
      <c r="C15" s="43" t="n">
        <v>3002308450</v>
      </c>
      <c r="D15" s="43" t="n">
        <v>3002371367</v>
      </c>
      <c r="E15" s="44" t="n">
        <f aca="false">D15-C15</f>
        <v>62917</v>
      </c>
      <c r="F15" s="42" t="s">
        <v>451</v>
      </c>
    </row>
    <row r="16" customFormat="false" ht="15" hidden="false" customHeight="false" outlineLevel="0" collapsed="false">
      <c r="A16" s="31" t="n">
        <v>4</v>
      </c>
      <c r="B16" s="31" t="s">
        <v>111</v>
      </c>
      <c r="C16" s="32" t="n">
        <v>6087702102</v>
      </c>
      <c r="D16" s="32" t="n">
        <v>6087702654</v>
      </c>
      <c r="E16" s="45" t="n">
        <f aca="false">D16-C16</f>
        <v>552</v>
      </c>
      <c r="F16" s="31" t="s">
        <v>451</v>
      </c>
    </row>
    <row r="17" customFormat="false" ht="15" hidden="false" customHeight="false" outlineLevel="0" collapsed="false">
      <c r="A17" s="31" t="n">
        <v>5</v>
      </c>
      <c r="B17" s="31" t="s">
        <v>154</v>
      </c>
      <c r="C17" s="32" t="n">
        <v>9359833613</v>
      </c>
      <c r="D17" s="32" t="n">
        <v>9359834165</v>
      </c>
      <c r="E17" s="45" t="n">
        <f aca="false">D17-C17</f>
        <v>552</v>
      </c>
      <c r="F17" s="31" t="s">
        <v>452</v>
      </c>
    </row>
    <row r="18" customFormat="false" ht="15" hidden="false" customHeight="false" outlineLevel="0" collapsed="false">
      <c r="A18" s="31" t="n">
        <v>6</v>
      </c>
      <c r="B18" s="31" t="s">
        <v>223</v>
      </c>
      <c r="C18" s="32" t="n">
        <v>17362061287</v>
      </c>
      <c r="D18" s="32" t="n">
        <v>17362061839</v>
      </c>
      <c r="E18" s="45" t="n">
        <f aca="false">D18-C18</f>
        <v>552</v>
      </c>
      <c r="F18" s="31" t="s">
        <v>451</v>
      </c>
    </row>
    <row r="19" customFormat="false" ht="15" hidden="false" customHeight="false" outlineLevel="0" collapsed="false">
      <c r="A19" s="31" t="n">
        <v>7</v>
      </c>
      <c r="B19" s="31" t="s">
        <v>63</v>
      </c>
      <c r="C19" s="32" t="n">
        <v>6592953922</v>
      </c>
      <c r="D19" s="32" t="n">
        <v>6592954198</v>
      </c>
      <c r="E19" s="45" t="n">
        <f aca="false">D19-C19</f>
        <v>276</v>
      </c>
      <c r="F19" s="31" t="s">
        <v>451</v>
      </c>
    </row>
    <row r="20" customFormat="false" ht="15" hidden="false" customHeight="false" outlineLevel="0" collapsed="false">
      <c r="A20" s="31" t="n">
        <v>8</v>
      </c>
      <c r="B20" s="31" t="s">
        <v>307</v>
      </c>
      <c r="C20" s="32" t="n">
        <v>4808734024</v>
      </c>
      <c r="D20" s="32" t="n">
        <v>4808734300</v>
      </c>
      <c r="E20" s="45" t="n">
        <f aca="false">D20-C20</f>
        <v>276</v>
      </c>
      <c r="F20" s="31" t="s">
        <v>451</v>
      </c>
    </row>
    <row r="21" customFormat="false" ht="15" hidden="false" customHeight="false" outlineLevel="0" collapsed="false">
      <c r="A21" s="31" t="n">
        <v>9</v>
      </c>
      <c r="B21" s="31" t="s">
        <v>355</v>
      </c>
      <c r="C21" s="32" t="n">
        <v>2768447794</v>
      </c>
      <c r="D21" s="32" t="n">
        <v>2768448070</v>
      </c>
      <c r="E21" s="45" t="n">
        <f aca="false">D21-C21</f>
        <v>276</v>
      </c>
      <c r="F21" s="31" t="s">
        <v>451</v>
      </c>
    </row>
    <row r="22" customFormat="false" ht="15" hidden="false" customHeight="false" outlineLevel="0" collapsed="false">
      <c r="A22" s="31" t="n">
        <v>10</v>
      </c>
      <c r="B22" s="31" t="s">
        <v>19</v>
      </c>
      <c r="C22" s="32" t="n">
        <v>44387297572</v>
      </c>
      <c r="D22" s="32" t="n">
        <v>44387297572</v>
      </c>
      <c r="E22" s="45" t="n">
        <f aca="false">D22-C22</f>
        <v>0</v>
      </c>
      <c r="F22" s="31" t="s">
        <v>451</v>
      </c>
    </row>
    <row r="23" customFormat="false" ht="15" hidden="false" customHeight="false" outlineLevel="0" collapsed="false">
      <c r="A23" s="31" t="n">
        <v>11</v>
      </c>
      <c r="B23" s="31" t="s">
        <v>22</v>
      </c>
      <c r="C23" s="32" t="n">
        <v>11170890274</v>
      </c>
      <c r="D23" s="32" t="n">
        <v>11170890274</v>
      </c>
      <c r="E23" s="45" t="n">
        <f aca="false">D23-C23</f>
        <v>0</v>
      </c>
      <c r="F23" s="31" t="s">
        <v>451</v>
      </c>
    </row>
    <row r="24" customFormat="false" ht="15" hidden="false" customHeight="false" outlineLevel="0" collapsed="false">
      <c r="A24" s="31" t="n">
        <v>12</v>
      </c>
      <c r="B24" s="31" t="s">
        <v>25</v>
      </c>
      <c r="C24" s="32" t="n">
        <v>74850669262</v>
      </c>
      <c r="D24" s="32" t="n">
        <v>74850669262</v>
      </c>
      <c r="E24" s="45" t="n">
        <f aca="false">D24-C24</f>
        <v>0</v>
      </c>
      <c r="F24" s="31" t="s">
        <v>451</v>
      </c>
    </row>
    <row r="25" customFormat="false" ht="15" hidden="false" customHeight="false" outlineLevel="0" collapsed="false">
      <c r="A25" s="31" t="n">
        <v>13</v>
      </c>
      <c r="B25" s="31" t="s">
        <v>28</v>
      </c>
      <c r="C25" s="32" t="n">
        <v>36464460217</v>
      </c>
      <c r="D25" s="32" t="n">
        <v>36464460217</v>
      </c>
      <c r="E25" s="45" t="n">
        <f aca="false">D25-C25</f>
        <v>0</v>
      </c>
      <c r="F25" s="31" t="s">
        <v>451</v>
      </c>
    </row>
    <row r="26" customFormat="false" ht="15" hidden="false" customHeight="false" outlineLevel="0" collapsed="false">
      <c r="A26" s="31" t="n">
        <v>14</v>
      </c>
      <c r="B26" s="31" t="s">
        <v>30</v>
      </c>
      <c r="C26" s="32" t="n">
        <v>29293788079</v>
      </c>
      <c r="D26" s="32" t="n">
        <v>29293788079</v>
      </c>
      <c r="E26" s="45" t="n">
        <f aca="false">D26-C26</f>
        <v>0</v>
      </c>
      <c r="F26" s="31" t="s">
        <v>451</v>
      </c>
    </row>
    <row r="27" customFormat="false" ht="15" hidden="false" customHeight="false" outlineLevel="0" collapsed="false">
      <c r="A27" s="31" t="n">
        <v>15</v>
      </c>
      <c r="B27" s="31" t="s">
        <v>33</v>
      </c>
      <c r="C27" s="32" t="n">
        <v>21593567029</v>
      </c>
      <c r="D27" s="32" t="n">
        <v>21593567029</v>
      </c>
      <c r="E27" s="45" t="n">
        <f aca="false">D27-C27</f>
        <v>0</v>
      </c>
      <c r="F27" s="31" t="s">
        <v>451</v>
      </c>
    </row>
    <row r="28" customFormat="false" ht="15" hidden="false" customHeight="false" outlineLevel="0" collapsed="false">
      <c r="A28" s="31" t="n">
        <v>16</v>
      </c>
      <c r="B28" s="31" t="s">
        <v>35</v>
      </c>
      <c r="C28" s="32" t="n">
        <v>9077416979</v>
      </c>
      <c r="D28" s="32" t="n">
        <v>9077416979</v>
      </c>
      <c r="E28" s="45" t="n">
        <f aca="false">D28-C28</f>
        <v>0</v>
      </c>
      <c r="F28" s="31" t="s">
        <v>451</v>
      </c>
    </row>
    <row r="29" customFormat="false" ht="15" hidden="false" customHeight="false" outlineLevel="0" collapsed="false">
      <c r="A29" s="31" t="n">
        <v>17</v>
      </c>
      <c r="B29" s="31" t="s">
        <v>37</v>
      </c>
      <c r="C29" s="32" t="n">
        <v>11818834082</v>
      </c>
      <c r="D29" s="32" t="n">
        <v>11818834082</v>
      </c>
      <c r="E29" s="45" t="n">
        <f aca="false">D29-C29</f>
        <v>0</v>
      </c>
      <c r="F29" s="31" t="s">
        <v>451</v>
      </c>
    </row>
    <row r="30" customFormat="false" ht="15" hidden="false" customHeight="false" outlineLevel="0" collapsed="false">
      <c r="A30" s="31" t="n">
        <v>18</v>
      </c>
      <c r="B30" s="31" t="s">
        <v>39</v>
      </c>
      <c r="C30" s="32" t="n">
        <v>29997035357</v>
      </c>
      <c r="D30" s="32" t="n">
        <v>29997035357</v>
      </c>
      <c r="E30" s="45" t="n">
        <f aca="false">D30-C30</f>
        <v>0</v>
      </c>
      <c r="F30" s="31" t="s">
        <v>451</v>
      </c>
    </row>
    <row r="31" customFormat="false" ht="15" hidden="false" customHeight="false" outlineLevel="0" collapsed="false">
      <c r="A31" s="31" t="n">
        <v>19</v>
      </c>
      <c r="B31" s="31" t="s">
        <v>41</v>
      </c>
      <c r="C31" s="32" t="n">
        <v>15218928203</v>
      </c>
      <c r="D31" s="32" t="n">
        <v>15218928203</v>
      </c>
      <c r="E31" s="45" t="n">
        <f aca="false">D31-C31</f>
        <v>0</v>
      </c>
      <c r="F31" s="31" t="s">
        <v>451</v>
      </c>
    </row>
    <row r="32" customFormat="false" ht="15" hidden="false" customHeight="false" outlineLevel="0" collapsed="false">
      <c r="A32" s="31" t="n">
        <v>20</v>
      </c>
      <c r="B32" s="31" t="s">
        <v>43</v>
      </c>
      <c r="C32" s="32" t="n">
        <v>13551276144</v>
      </c>
      <c r="D32" s="32" t="n">
        <v>13551276144</v>
      </c>
      <c r="E32" s="45" t="n">
        <f aca="false">D32-C32</f>
        <v>0</v>
      </c>
      <c r="F32" s="31" t="s">
        <v>451</v>
      </c>
    </row>
    <row r="35" customFormat="false" ht="15" hidden="false" customHeight="false" outlineLevel="0" collapsed="false">
      <c r="A35" s="35" t="s">
        <v>453</v>
      </c>
    </row>
    <row r="36" customFormat="false" ht="15" hidden="false" customHeight="false" outlineLevel="0" collapsed="false">
      <c r="A36" s="30" t="s">
        <v>2</v>
      </c>
      <c r="B36" s="30" t="s">
        <v>448</v>
      </c>
      <c r="C36" s="30" t="s">
        <v>7</v>
      </c>
      <c r="D36" s="30" t="s">
        <v>10</v>
      </c>
      <c r="E36" s="30" t="s">
        <v>13</v>
      </c>
      <c r="F36" s="30" t="s">
        <v>14</v>
      </c>
      <c r="G36" s="30" t="s">
        <v>11</v>
      </c>
      <c r="H36" s="30" t="s">
        <v>6</v>
      </c>
    </row>
    <row r="37" customFormat="false" ht="15" hidden="false" customHeight="false" outlineLevel="0" collapsed="false">
      <c r="A37" s="25" t="n">
        <v>1</v>
      </c>
      <c r="B37" s="25" t="s">
        <v>276</v>
      </c>
      <c r="C37" s="26" t="n">
        <v>152126305</v>
      </c>
      <c r="D37" s="26" t="n">
        <v>151158165</v>
      </c>
      <c r="E37" s="46" t="n">
        <f aca="false">D37-C37</f>
        <v>-968140</v>
      </c>
      <c r="F37" s="47" t="n">
        <f aca="false">IFERROR((D37-C37)/C37,"")</f>
        <v>-0.00636405386957897</v>
      </c>
      <c r="G37" s="26" t="n">
        <v>3001347355</v>
      </c>
      <c r="H37" s="25" t="s">
        <v>451</v>
      </c>
    </row>
    <row r="38" customFormat="false" ht="15" hidden="false" customHeight="false" outlineLevel="0" collapsed="false">
      <c r="A38" s="25" t="n">
        <v>2</v>
      </c>
      <c r="B38" s="25" t="s">
        <v>383</v>
      </c>
      <c r="C38" s="26" t="n">
        <v>133458535</v>
      </c>
      <c r="D38" s="26" t="n">
        <v>133205945</v>
      </c>
      <c r="E38" s="46" t="n">
        <f aca="false">D38-C38</f>
        <v>-252590</v>
      </c>
      <c r="F38" s="47" t="n">
        <f aca="false">IFERROR((D38-C38)/C38,"")</f>
        <v>-0.00189264778007641</v>
      </c>
      <c r="G38" s="26" t="n">
        <v>2833268195</v>
      </c>
      <c r="H38" s="25" t="s">
        <v>451</v>
      </c>
    </row>
    <row r="39" customFormat="false" ht="15" hidden="false" customHeight="false" outlineLevel="0" collapsed="false">
      <c r="A39" s="25" t="n">
        <v>3</v>
      </c>
      <c r="B39" s="25" t="s">
        <v>412</v>
      </c>
      <c r="C39" s="26" t="n">
        <v>124078510</v>
      </c>
      <c r="D39" s="26" t="n">
        <v>123871546</v>
      </c>
      <c r="E39" s="46" t="n">
        <f aca="false">D39-C39</f>
        <v>-206964</v>
      </c>
      <c r="F39" s="47" t="n">
        <f aca="false">IFERROR((D39-C39)/C39,"")</f>
        <v>-0.00166800842466596</v>
      </c>
      <c r="G39" s="26" t="n">
        <v>5968916477</v>
      </c>
      <c r="H39" s="25" t="s">
        <v>451</v>
      </c>
    </row>
    <row r="40" customFormat="false" ht="15" hidden="false" customHeight="false" outlineLevel="0" collapsed="false">
      <c r="A40" s="31" t="n">
        <v>4</v>
      </c>
      <c r="B40" s="31" t="s">
        <v>127</v>
      </c>
      <c r="C40" s="32" t="n">
        <v>183123100</v>
      </c>
      <c r="D40" s="32" t="n">
        <v>182952073</v>
      </c>
      <c r="E40" s="48" t="n">
        <f aca="false">D40-C40</f>
        <v>-171027</v>
      </c>
      <c r="F40" s="49" t="n">
        <f aca="false">IFERROR((D40-C40)/C40,"")</f>
        <v>-0.00093394552626075</v>
      </c>
      <c r="G40" s="32" t="n">
        <v>1049469337</v>
      </c>
      <c r="H40" s="31" t="s">
        <v>451</v>
      </c>
    </row>
    <row r="41" customFormat="false" ht="15" hidden="false" customHeight="false" outlineLevel="0" collapsed="false">
      <c r="A41" s="31" t="n">
        <v>5</v>
      </c>
      <c r="B41" s="31" t="s">
        <v>161</v>
      </c>
      <c r="C41" s="32" t="n">
        <v>172439522</v>
      </c>
      <c r="D41" s="32" t="n">
        <v>172307088</v>
      </c>
      <c r="E41" s="48" t="n">
        <f aca="false">D41-C41</f>
        <v>-132434</v>
      </c>
      <c r="F41" s="49" t="n">
        <f aca="false">IFERROR((D41-C41)/C41,"")</f>
        <v>-0.00076800259281628</v>
      </c>
      <c r="G41" s="32" t="n">
        <v>2698116736</v>
      </c>
      <c r="H41" s="31" t="s">
        <v>451</v>
      </c>
    </row>
    <row r="42" customFormat="false" ht="15" hidden="false" customHeight="false" outlineLevel="0" collapsed="false">
      <c r="A42" s="31" t="n">
        <v>6</v>
      </c>
      <c r="B42" s="31" t="s">
        <v>163</v>
      </c>
      <c r="C42" s="32" t="n">
        <v>172352713</v>
      </c>
      <c r="D42" s="32" t="n">
        <v>172339390</v>
      </c>
      <c r="E42" s="48" t="n">
        <f aca="false">D42-C42</f>
        <v>-13323</v>
      </c>
      <c r="F42" s="49" t="n">
        <f aca="false">IFERROR((D42-C42)/C42,"")</f>
        <v>-7.73007849316535E-005</v>
      </c>
      <c r="G42" s="32" t="n">
        <v>1390095238</v>
      </c>
      <c r="H42" s="31" t="s">
        <v>451</v>
      </c>
    </row>
    <row r="45" customFormat="false" ht="15" hidden="false" customHeight="false" outlineLevel="0" collapsed="false">
      <c r="A45" s="35" t="s">
        <v>454</v>
      </c>
    </row>
    <row r="46" customFormat="false" ht="23.85" hidden="false" customHeight="false" outlineLevel="0" collapsed="false">
      <c r="A46" s="50" t="s">
        <v>2</v>
      </c>
      <c r="B46" s="50" t="s">
        <v>3</v>
      </c>
      <c r="C46" s="50" t="s">
        <v>455</v>
      </c>
      <c r="D46" s="50" t="s">
        <v>456</v>
      </c>
      <c r="E46" s="50" t="s">
        <v>457</v>
      </c>
      <c r="F46" s="50" t="s">
        <v>458</v>
      </c>
      <c r="G46" s="50" t="s">
        <v>14</v>
      </c>
      <c r="H46" s="50" t="s">
        <v>16</v>
      </c>
      <c r="I46" s="50" t="s">
        <v>459</v>
      </c>
      <c r="J46" s="50" t="s">
        <v>460</v>
      </c>
      <c r="K46" s="50" t="s">
        <v>461</v>
      </c>
      <c r="L46" s="50" t="s">
        <v>462</v>
      </c>
      <c r="M46" s="50" t="s">
        <v>463</v>
      </c>
      <c r="N46" s="50" t="s">
        <v>464</v>
      </c>
    </row>
    <row r="47" customFormat="false" ht="15" hidden="false" customHeight="false" outlineLevel="0" collapsed="false">
      <c r="A47" s="17" t="n">
        <v>1</v>
      </c>
      <c r="B47" s="17" t="s">
        <v>152</v>
      </c>
      <c r="C47" s="17" t="s">
        <v>153</v>
      </c>
      <c r="D47" s="17" t="s">
        <v>154</v>
      </c>
      <c r="E47" s="17" t="n">
        <v>64</v>
      </c>
      <c r="F47" s="17" t="n">
        <v>66</v>
      </c>
      <c r="G47" s="51" t="n">
        <v>0.0104111178197779</v>
      </c>
      <c r="H47" s="51" t="n">
        <v>5.89754073441348E-008</v>
      </c>
      <c r="I47" s="18" t="n">
        <v>5487238</v>
      </c>
      <c r="J47" s="18" t="n">
        <v>304500</v>
      </c>
      <c r="K47" s="17" t="s">
        <v>452</v>
      </c>
      <c r="L47" s="17" t="s">
        <v>465</v>
      </c>
      <c r="M47" s="17" t="n">
        <v>0</v>
      </c>
      <c r="N47" s="17" t="n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8" t="s">
        <v>466</v>
      </c>
    </row>
    <row r="2" customFormat="false" ht="15" hidden="false" customHeight="false" outlineLevel="0" collapsed="false">
      <c r="A2" s="31"/>
    </row>
    <row r="3" customFormat="false" ht="15" hidden="false" customHeight="false" outlineLevel="0" collapsed="false">
      <c r="A3" s="28" t="s">
        <v>467</v>
      </c>
    </row>
    <row r="4" customFormat="false" ht="15" hidden="false" customHeight="false" outlineLevel="0" collapsed="false">
      <c r="A4" s="31" t="s">
        <v>468</v>
      </c>
    </row>
    <row r="5" customFormat="false" ht="15" hidden="false" customHeight="false" outlineLevel="0" collapsed="false">
      <c r="A5" s="31" t="s">
        <v>469</v>
      </c>
    </row>
    <row r="6" customFormat="false" ht="15" hidden="false" customHeight="false" outlineLevel="0" collapsed="false">
      <c r="A6" s="31" t="s">
        <v>470</v>
      </c>
    </row>
    <row r="7" customFormat="false" ht="15" hidden="false" customHeight="false" outlineLevel="0" collapsed="false">
      <c r="A7" s="31" t="s">
        <v>471</v>
      </c>
    </row>
    <row r="8" customFormat="false" ht="15" hidden="false" customHeight="false" outlineLevel="0" collapsed="false">
      <c r="A8" s="31" t="s">
        <v>472</v>
      </c>
    </row>
    <row r="9" customFormat="false" ht="15" hidden="false" customHeight="false" outlineLevel="0" collapsed="false">
      <c r="A9" s="31"/>
    </row>
    <row r="10" customFormat="false" ht="15" hidden="false" customHeight="false" outlineLevel="0" collapsed="false">
      <c r="A10" s="28" t="s">
        <v>473</v>
      </c>
    </row>
    <row r="11" customFormat="false" ht="15" hidden="false" customHeight="false" outlineLevel="0" collapsed="false">
      <c r="A11" s="31" t="s">
        <v>474</v>
      </c>
    </row>
    <row r="12" customFormat="false" ht="15" hidden="false" customHeight="false" outlineLevel="0" collapsed="false">
      <c r="A12" s="31" t="s">
        <v>475</v>
      </c>
    </row>
    <row r="13" customFormat="false" ht="15" hidden="false" customHeight="false" outlineLevel="0" collapsed="false">
      <c r="A13" s="31" t="s">
        <v>476</v>
      </c>
    </row>
    <row r="14" customFormat="false" ht="15" hidden="false" customHeight="false" outlineLevel="0" collapsed="false">
      <c r="A14" s="31" t="s">
        <v>477</v>
      </c>
    </row>
    <row r="15" customFormat="false" ht="15" hidden="false" customHeight="false" outlineLevel="0" collapsed="false">
      <c r="A15" s="31" t="s">
        <v>478</v>
      </c>
    </row>
    <row r="16" customFormat="false" ht="15" hidden="false" customHeight="false" outlineLevel="0" collapsed="false">
      <c r="A16" s="31"/>
    </row>
    <row r="17" customFormat="false" ht="15" hidden="false" customHeight="false" outlineLevel="0" collapsed="false">
      <c r="A17" s="28" t="s">
        <v>479</v>
      </c>
    </row>
    <row r="18" customFormat="false" ht="15" hidden="false" customHeight="false" outlineLevel="0" collapsed="false">
      <c r="A18" s="31" t="s">
        <v>480</v>
      </c>
    </row>
    <row r="19" customFormat="false" ht="15" hidden="false" customHeight="false" outlineLevel="0" collapsed="false">
      <c r="A19" s="31" t="s">
        <v>481</v>
      </c>
    </row>
    <row r="20" customFormat="false" ht="15" hidden="false" customHeight="false" outlineLevel="0" collapsed="false">
      <c r="A20" s="31" t="s">
        <v>482</v>
      </c>
    </row>
    <row r="21" customFormat="false" ht="15" hidden="false" customHeight="false" outlineLevel="0" collapsed="false">
      <c r="A21" s="31" t="s">
        <v>483</v>
      </c>
    </row>
    <row r="22" customFormat="false" ht="15" hidden="false" customHeight="false" outlineLevel="0" collapsed="false">
      <c r="A22" s="31" t="s">
        <v>484</v>
      </c>
    </row>
    <row r="23" customFormat="false" ht="15" hidden="false" customHeight="false" outlineLevel="0" collapsed="false">
      <c r="A23" s="31"/>
    </row>
    <row r="24" customFormat="false" ht="15" hidden="false" customHeight="false" outlineLevel="0" collapsed="false">
      <c r="A24" s="28" t="s">
        <v>485</v>
      </c>
    </row>
    <row r="25" customFormat="false" ht="15" hidden="false" customHeight="false" outlineLevel="0" collapsed="false">
      <c r="A25" s="31" t="s">
        <v>486</v>
      </c>
    </row>
    <row r="26" customFormat="false" ht="15" hidden="false" customHeight="false" outlineLevel="0" collapsed="false">
      <c r="A26" s="31" t="s">
        <v>487</v>
      </c>
    </row>
    <row r="27" customFormat="false" ht="15" hidden="false" customHeight="false" outlineLevel="0" collapsed="false">
      <c r="A27" s="31" t="s">
        <v>488</v>
      </c>
    </row>
    <row r="28" customFormat="false" ht="15" hidden="false" customHeight="false" outlineLevel="0" collapsed="false">
      <c r="A28" s="31" t="s">
        <v>489</v>
      </c>
    </row>
    <row r="29" customFormat="false" ht="15" hidden="false" customHeight="false" outlineLevel="0" collapsed="false">
      <c r="A29" s="31" t="s">
        <v>490</v>
      </c>
    </row>
    <row r="30" customFormat="false" ht="15" hidden="false" customHeight="false" outlineLevel="0" collapsed="false">
      <c r="A30" s="31"/>
    </row>
    <row r="31" customFormat="false" ht="15" hidden="false" customHeight="false" outlineLevel="0" collapsed="false">
      <c r="A31" s="28" t="s">
        <v>491</v>
      </c>
    </row>
    <row r="32" customFormat="false" ht="15" hidden="false" customHeight="false" outlineLevel="0" collapsed="false">
      <c r="A32" s="31" t="s">
        <v>492</v>
      </c>
    </row>
    <row r="33" customFormat="false" ht="15" hidden="false" customHeight="false" outlineLevel="0" collapsed="false">
      <c r="A33" s="31" t="s">
        <v>493</v>
      </c>
    </row>
    <row r="34" customFormat="false" ht="15" hidden="false" customHeight="false" outlineLevel="0" collapsed="false">
      <c r="A34" s="31" t="s">
        <v>494</v>
      </c>
    </row>
    <row r="35" customFormat="false" ht="15" hidden="false" customHeight="false" outlineLevel="0" collapsed="false">
      <c r="A35" s="31" t="s">
        <v>495</v>
      </c>
    </row>
    <row r="36" customFormat="false" ht="15" hidden="false" customHeight="false" outlineLevel="0" collapsed="false">
      <c r="A36" s="31" t="s">
        <v>496</v>
      </c>
    </row>
    <row r="37" customFormat="false" ht="15" hidden="false" customHeight="false" outlineLevel="0" collapsed="false">
      <c r="A37" s="31"/>
    </row>
    <row r="38" customFormat="false" ht="15" hidden="false" customHeight="false" outlineLevel="0" collapsed="false">
      <c r="A38" s="28" t="s">
        <v>497</v>
      </c>
    </row>
    <row r="39" customFormat="false" ht="15" hidden="false" customHeight="false" outlineLevel="0" collapsed="false">
      <c r="A39" s="31" t="s">
        <v>498</v>
      </c>
    </row>
    <row r="40" customFormat="false" ht="15" hidden="false" customHeight="false" outlineLevel="0" collapsed="false">
      <c r="A40" s="31" t="s">
        <v>499</v>
      </c>
    </row>
    <row r="41" customFormat="false" ht="15" hidden="false" customHeight="false" outlineLevel="0" collapsed="false">
      <c r="A41" s="31" t="s">
        <v>500</v>
      </c>
    </row>
    <row r="42" customFormat="false" ht="15" hidden="false" customHeight="false" outlineLevel="0" collapsed="false">
      <c r="A42" s="31"/>
    </row>
    <row r="43" customFormat="false" ht="15" hidden="false" customHeight="false" outlineLevel="0" collapsed="false">
      <c r="A43" s="28" t="s">
        <v>501</v>
      </c>
    </row>
    <row r="44" customFormat="false" ht="15" hidden="false" customHeight="false" outlineLevel="0" collapsed="false">
      <c r="A44" s="31" t="s">
        <v>502</v>
      </c>
    </row>
    <row r="45" customFormat="false" ht="15" hidden="false" customHeight="false" outlineLevel="0" collapsed="false">
      <c r="A45" s="31" t="s">
        <v>503</v>
      </c>
    </row>
    <row r="46" customFormat="false" ht="15" hidden="false" customHeight="false" outlineLevel="0" collapsed="false">
      <c r="A46" s="31"/>
    </row>
    <row r="47" customFormat="false" ht="15" hidden="false" customHeight="false" outlineLevel="0" collapsed="false">
      <c r="A47" s="28" t="s">
        <v>504</v>
      </c>
    </row>
    <row r="48" customFormat="false" ht="15" hidden="false" customHeight="false" outlineLevel="0" collapsed="false">
      <c r="A48" s="31" t="s">
        <v>505</v>
      </c>
    </row>
    <row r="49" customFormat="false" ht="15" hidden="false" customHeight="false" outlineLevel="0" collapsed="false">
      <c r="A49" s="31" t="s">
        <v>506</v>
      </c>
    </row>
    <row r="50" customFormat="false" ht="15" hidden="false" customHeight="false" outlineLevel="0" collapsed="false">
      <c r="A50" s="31" t="s">
        <v>507</v>
      </c>
    </row>
    <row r="51" customFormat="false" ht="15" hidden="false" customHeight="false" outlineLevel="0" collapsed="false">
      <c r="A51" s="31"/>
    </row>
    <row r="52" customFormat="false" ht="15" hidden="false" customHeight="false" outlineLevel="0" collapsed="false">
      <c r="A52" s="28" t="s">
        <v>508</v>
      </c>
    </row>
    <row r="53" customFormat="false" ht="15" hidden="false" customHeight="false" outlineLevel="0" collapsed="false">
      <c r="A53" s="31" t="s">
        <v>509</v>
      </c>
    </row>
    <row r="54" customFormat="false" ht="15" hidden="false" customHeight="false" outlineLevel="0" collapsed="false">
      <c r="A54" s="31" t="s">
        <v>510</v>
      </c>
    </row>
    <row r="55" customFormat="false" ht="15" hidden="false" customHeight="false" outlineLevel="0" collapsed="false">
      <c r="A55" s="31" t="s">
        <v>511</v>
      </c>
    </row>
    <row r="56" customFormat="false" ht="15" hidden="false" customHeight="false" outlineLevel="0" collapsed="false">
      <c r="A56" s="31" t="s">
        <v>512</v>
      </c>
    </row>
    <row r="57" customFormat="false" ht="15" hidden="false" customHeight="false" outlineLevel="0" collapsed="false">
      <c r="A57" s="31" t="s">
        <v>513</v>
      </c>
    </row>
    <row r="58" customFormat="false" ht="15" hidden="false" customHeight="false" outlineLevel="0" collapsed="false">
      <c r="A58" s="31" t="s">
        <v>514</v>
      </c>
    </row>
    <row r="59" customFormat="false" ht="15" hidden="false" customHeight="false" outlineLevel="0" collapsed="false">
      <c r="A59" s="31"/>
    </row>
    <row r="60" customFormat="false" ht="15" hidden="false" customHeight="false" outlineLevel="0" collapsed="false">
      <c r="A60" s="28" t="s">
        <v>515</v>
      </c>
    </row>
    <row r="61" customFormat="false" ht="15" hidden="false" customHeight="false" outlineLevel="0" collapsed="false">
      <c r="A61" s="31" t="s">
        <v>516</v>
      </c>
    </row>
    <row r="62" customFormat="false" ht="15" hidden="false" customHeight="false" outlineLevel="0" collapsed="false">
      <c r="A62" s="31" t="s">
        <v>517</v>
      </c>
    </row>
    <row r="63" customFormat="false" ht="15" hidden="false" customHeight="false" outlineLevel="0" collapsed="false">
      <c r="A63" s="31"/>
    </row>
    <row r="64" customFormat="false" ht="15" hidden="false" customHeight="false" outlineLevel="0" collapsed="false">
      <c r="A64" s="28" t="s">
        <v>518</v>
      </c>
    </row>
    <row r="65" customFormat="false" ht="15" hidden="false" customHeight="false" outlineLevel="0" collapsed="false">
      <c r="A65" s="31" t="s">
        <v>519</v>
      </c>
    </row>
    <row r="66" customFormat="false" ht="15" hidden="false" customHeight="false" outlineLevel="0" collapsed="false">
      <c r="A66" s="31" t="s">
        <v>520</v>
      </c>
    </row>
    <row r="67" customFormat="false" ht="15" hidden="false" customHeight="false" outlineLevel="0" collapsed="false">
      <c r="A67" s="31" t="s">
        <v>521</v>
      </c>
    </row>
    <row r="68" customFormat="false" ht="15" hidden="false" customHeight="false" outlineLevel="0" collapsed="false">
      <c r="A68" s="31"/>
    </row>
    <row r="69" customFormat="false" ht="15" hidden="false" customHeight="false" outlineLevel="0" collapsed="false">
      <c r="A69" s="28" t="s">
        <v>522</v>
      </c>
    </row>
    <row r="70" customFormat="false" ht="15" hidden="false" customHeight="false" outlineLevel="0" collapsed="false">
      <c r="A70" s="31" t="s">
        <v>523</v>
      </c>
    </row>
    <row r="71" customFormat="false" ht="15" hidden="false" customHeight="false" outlineLevel="0" collapsed="false">
      <c r="A71" s="31" t="s">
        <v>524</v>
      </c>
    </row>
    <row r="72" customFormat="false" ht="15" hidden="false" customHeight="false" outlineLevel="0" collapsed="false">
      <c r="A72" s="31"/>
    </row>
    <row r="73" customFormat="false" ht="15" hidden="false" customHeight="false" outlineLevel="0" collapsed="false">
      <c r="A73" s="28" t="s">
        <v>525</v>
      </c>
    </row>
    <row r="74" customFormat="false" ht="15" hidden="false" customHeight="false" outlineLevel="0" collapsed="false">
      <c r="A74" s="31" t="s">
        <v>526</v>
      </c>
    </row>
    <row r="75" customFormat="false" ht="15" hidden="false" customHeight="false" outlineLevel="0" collapsed="false">
      <c r="A75" s="31" t="s">
        <v>527</v>
      </c>
    </row>
    <row r="76" customFormat="false" ht="15" hidden="false" customHeight="false" outlineLevel="0" collapsed="false">
      <c r="A76" s="31" t="s">
        <v>528</v>
      </c>
    </row>
    <row r="77" customFormat="false" ht="15" hidden="false" customHeight="false" outlineLevel="0" collapsed="false">
      <c r="A77" s="31" t="s">
        <v>529</v>
      </c>
    </row>
    <row r="78" customFormat="false" ht="15" hidden="false" customHeight="false" outlineLevel="0" collapsed="false">
      <c r="A78" s="31" t="s">
        <v>530</v>
      </c>
    </row>
    <row r="79" customFormat="false" ht="15" hidden="false" customHeight="false" outlineLevel="0" collapsed="false">
      <c r="A79" s="31" t="s">
        <v>531</v>
      </c>
    </row>
    <row r="80" customFormat="false" ht="15" hidden="false" customHeight="false" outlineLevel="0" collapsed="false">
      <c r="A80" s="31" t="s">
        <v>532</v>
      </c>
    </row>
    <row r="81" customFormat="false" ht="15" hidden="false" customHeight="false" outlineLevel="0" collapsed="false">
      <c r="A81" s="31" t="s">
        <v>533</v>
      </c>
    </row>
    <row r="82" customFormat="false" ht="15" hidden="false" customHeight="false" outlineLevel="0" collapsed="false">
      <c r="A82" s="31"/>
    </row>
    <row r="83" customFormat="false" ht="15" hidden="false" customHeight="false" outlineLevel="0" collapsed="false">
      <c r="A83" s="28" t="s">
        <v>534</v>
      </c>
    </row>
    <row r="84" customFormat="false" ht="15" hidden="false" customHeight="false" outlineLevel="0" collapsed="false">
      <c r="A84" s="31" t="s">
        <v>535</v>
      </c>
    </row>
    <row r="85" customFormat="false" ht="15" hidden="false" customHeight="false" outlineLevel="0" collapsed="false">
      <c r="A85" s="31" t="s">
        <v>536</v>
      </c>
    </row>
    <row r="86" customFormat="false" ht="15" hidden="false" customHeight="false" outlineLevel="0" collapsed="false">
      <c r="A86" s="31" t="s">
        <v>537</v>
      </c>
    </row>
    <row r="87" customFormat="false" ht="15" hidden="false" customHeight="false" outlineLevel="0" collapsed="false">
      <c r="A87" s="31" t="s">
        <v>538</v>
      </c>
    </row>
    <row r="88" customFormat="false" ht="15" hidden="false" customHeight="false" outlineLevel="0" collapsed="false">
      <c r="A88" s="31" t="s">
        <v>539</v>
      </c>
    </row>
    <row r="89" customFormat="false" ht="15" hidden="false" customHeight="false" outlineLevel="0" collapsed="false">
      <c r="A89" s="31" t="s">
        <v>540</v>
      </c>
    </row>
    <row r="90" customFormat="false" ht="15" hidden="false" customHeight="false" outlineLevel="0" collapsed="false">
      <c r="A90" s="31" t="s">
        <v>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2026-09-17T15:30:23Z</dcterms:created>
  <dc:creator>openpyxl</dc:creator>
  <dc:description/>
  <dc:language>en-US</dc:language>
  <cp:lastModifiedBy/>
  <dcterms:modified xsi:type="dcterms:W3CDTF">2026-09-17T15:30:23Z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